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EX\Desktop\Data Analyst\04_Projects\"/>
    </mc:Choice>
  </mc:AlternateContent>
  <xr:revisionPtr revIDLastSave="0" documentId="13_ncr:1_{0422E691-529A-41E6-B8D1-85B5D8383D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adro" sheetId="1" r:id="rId1"/>
    <sheet name="CleanData " sheetId="7" r:id="rId2"/>
    <sheet name="DataPrep" sheetId="8" r:id="rId3"/>
    <sheet name="DashBoard" sheetId="10" r:id="rId4"/>
  </sheets>
  <definedNames>
    <definedName name="_xlchart.v5.0" hidden="1">DataPrep!$I$3:$I$20</definedName>
    <definedName name="_xlchart.v5.1" hidden="1">DataPrep!$J$1:$J$2</definedName>
    <definedName name="_xlchart.v5.2" hidden="1">DataPrep!$J$3:$J$20</definedName>
    <definedName name="_xlchart.v5.3" hidden="1">DataPrep!$K$1:$K$2</definedName>
    <definedName name="_xlchart.v5.4" hidden="1">DataPrep!$K$3:$K$20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0" l="1"/>
  <c r="O8" i="10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4" i="8"/>
  <c r="E8" i="10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20" i="8"/>
  <c r="E4" i="8"/>
  <c r="E5" i="8"/>
  <c r="E6" i="8"/>
  <c r="E7" i="8"/>
  <c r="E8" i="8"/>
  <c r="E9" i="8"/>
  <c r="E10" i="8"/>
  <c r="E11" i="8"/>
  <c r="E12" i="8"/>
  <c r="E13" i="8"/>
  <c r="E14" i="8"/>
  <c r="E15" i="8"/>
  <c r="E3" i="8"/>
</calcChain>
</file>

<file path=xl/sharedStrings.xml><?xml version="1.0" encoding="utf-8"?>
<sst xmlns="http://schemas.openxmlformats.org/spreadsheetml/2006/main" count="593" uniqueCount="71">
  <si>
    <t>População empregada: total e por setor de atividade económica</t>
  </si>
  <si>
    <t>Quantas pessoas trabalham na agricultura, indústria, comércio ou outros serviços?</t>
  </si>
  <si>
    <t>Anos</t>
  </si>
  <si>
    <t>Indivíduo - Milhares</t>
  </si>
  <si>
    <t>Setores de atividade económica</t>
  </si>
  <si>
    <t>Total</t>
  </si>
  <si>
    <t>Agricultura, produção animal, caça, silvicultura e pesca</t>
  </si>
  <si>
    <t>Indústrias extrativas</t>
  </si>
  <si>
    <t>Indústrias transformadoras</t>
  </si>
  <si>
    <t>Eletricidade, gás e água</t>
  </si>
  <si>
    <t>Construção</t>
  </si>
  <si>
    <t>Comércio por grosso e a retalho (...)</t>
  </si>
  <si>
    <t>Transporte e armazenagem</t>
  </si>
  <si>
    <t>Alojamento, restauração e similares</t>
  </si>
  <si>
    <t>Atividades financeiras e de seguros</t>
  </si>
  <si>
    <t>Atividades imobiliárias</t>
  </si>
  <si>
    <t>Educação</t>
  </si>
  <si>
    <t>Atividades de saúde humana e apoio social</t>
  </si>
  <si>
    <t>Outros setores</t>
  </si>
  <si>
    <t>Fontes de Dados: INE - Inquérito ao Emprego</t>
  </si>
  <si>
    <t>Fonte: PORDATA</t>
  </si>
  <si>
    <t>Última actualização: 2026-02-09</t>
  </si>
  <si>
    <t>Simbologia</t>
  </si>
  <si>
    <t>┴</t>
  </si>
  <si>
    <t>Quebra de série</t>
  </si>
  <si>
    <t>Pro</t>
  </si>
  <si>
    <t>Valor provisório</t>
  </si>
  <si>
    <t>Pre</t>
  </si>
  <si>
    <t>Valor preliminar</t>
  </si>
  <si>
    <t>...</t>
  </si>
  <si>
    <t>Confidencial</t>
  </si>
  <si>
    <t>x</t>
  </si>
  <si>
    <t>Valor não disponível</t>
  </si>
  <si>
    <t>e</t>
  </si>
  <si>
    <t>Dado inferior a metade do módulo da unidade utilizada</t>
  </si>
  <si>
    <t>//</t>
  </si>
  <si>
    <t>Não aplicável</t>
  </si>
  <si>
    <t>f</t>
  </si>
  <si>
    <t>Valor previsto</t>
  </si>
  <si>
    <t>§</t>
  </si>
  <si>
    <t>Dado com coeficiente de variação elevado</t>
  </si>
  <si>
    <t>-</t>
  </si>
  <si>
    <t>Ausência de valor</t>
  </si>
  <si>
    <t>Rv</t>
  </si>
  <si>
    <t>Valor revisto</t>
  </si>
  <si>
    <t>(R)</t>
  </si>
  <si>
    <t>Dados rectificados pela entidade responsável</t>
  </si>
  <si>
    <t>N</t>
  </si>
  <si>
    <t>Valor negligenciável</t>
  </si>
  <si>
    <t>s</t>
  </si>
  <si>
    <t>Valor estimado</t>
  </si>
  <si>
    <t>u</t>
  </si>
  <si>
    <t>Valor incerto ou não confiável</t>
  </si>
  <si>
    <t>fr</t>
  </si>
  <si>
    <t>Dado de fiabilidade reduzida</t>
  </si>
  <si>
    <t>Dados obtidos em https:www.pordata.pt a 29-04-2026</t>
  </si>
  <si>
    <t xml:space="preserve"> </t>
  </si>
  <si>
    <t>Ano</t>
  </si>
  <si>
    <t xml:space="preserve">Empregados </t>
  </si>
  <si>
    <t>Setor</t>
  </si>
  <si>
    <t>Setor de Atividade</t>
  </si>
  <si>
    <t xml:space="preserve">Selecionado </t>
  </si>
  <si>
    <t xml:space="preserve">Setor </t>
  </si>
  <si>
    <t>EVOLUÇÃO AO LONGO DO TEMPO</t>
  </si>
  <si>
    <t>Empregos</t>
  </si>
  <si>
    <t>Setor de Atividade(Filtro)</t>
  </si>
  <si>
    <t>Filtro Data</t>
  </si>
  <si>
    <t>Crescimento Ano a Ano</t>
  </si>
  <si>
    <t>Crescimento%</t>
  </si>
  <si>
    <t>Emprego Por Setor</t>
  </si>
  <si>
    <t>milhões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</si>
</sst>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 ##,##0.0;\ \-##,##0.0"/>
    <numFmt numFmtId="165" formatCode="\┴\ \ ##,##0.0;\┴\ \ \-##,##0.0"/>
    <numFmt numFmtId="166" formatCode="#,##0.000"/>
    <numFmt numFmtId="167" formatCode="0.0%"/>
    <numFmt numFmtId="168" formatCode="#,##0.000;&quot;Milhões&quot;"/>
  </numFmts>
  <fonts count="20" x14ac:knownFonts="1">
    <font>
      <sz val="10"/>
      <name val="Arial"/>
    </font>
    <font>
      <sz val="10"/>
      <color indexed="0"/>
      <name val="Arial"/>
    </font>
    <font>
      <b/>
      <sz val="10"/>
      <color indexed="0"/>
      <name val="Arial"/>
    </font>
    <font>
      <b/>
      <sz val="12"/>
      <color indexed="0"/>
      <name val="Arial"/>
    </font>
    <font>
      <b/>
      <sz val="11"/>
      <color indexed="8"/>
      <name val="Arial"/>
    </font>
    <font>
      <sz val="8"/>
      <color indexed="0"/>
      <name val="Arial"/>
    </font>
    <font>
      <b/>
      <sz val="12"/>
      <color indexed="8"/>
      <name val="Arial"/>
    </font>
    <font>
      <b/>
      <sz val="8"/>
      <color indexed="14"/>
      <name val="Arial"/>
    </font>
    <font>
      <b/>
      <sz val="10"/>
      <color indexed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b/>
      <sz val="12"/>
      <color indexed="0"/>
      <name val="Arial"/>
      <family val="2"/>
    </font>
    <font>
      <sz val="10"/>
      <color theme="0"/>
      <name val="Arial"/>
      <family val="2"/>
    </font>
    <font>
      <sz val="10"/>
      <name val="Arial"/>
    </font>
    <font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</patternFill>
    </fill>
    <fill>
      <patternFill patternType="solid">
        <fgColor indexed="1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 diagonalDown="1">
      <left/>
      <right/>
      <top/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thin">
        <color indexed="1"/>
      </left>
      <right style="thin">
        <color indexed="1"/>
      </right>
      <top style="medium">
        <color indexed="8"/>
      </top>
      <bottom style="thin">
        <color indexed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rgb="FF8EA9DB"/>
      </top>
      <bottom/>
      <diagonal/>
    </border>
    <border>
      <left/>
      <right/>
      <top style="thin">
        <color rgb="FF8EA9DB"/>
      </top>
      <bottom/>
      <diagonal/>
    </border>
    <border>
      <left style="thin">
        <color theme="4" tint="0.39997558519241921"/>
      </left>
      <right/>
      <top style="thin">
        <color rgb="FF8EA9DB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rgb="FF8EA9DB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rgb="FF8EA9DB"/>
      </bottom>
      <diagonal/>
    </border>
    <border>
      <left/>
      <right/>
      <top style="thin">
        <color theme="4" tint="0.39997558519241921"/>
      </top>
      <bottom style="thin">
        <color rgb="FF8EA9DB"/>
      </bottom>
      <diagonal/>
    </border>
  </borders>
  <cellStyleXfs count="6">
    <xf numFmtId="0" fontId="0" fillId="0" borderId="0"/>
    <xf numFmtId="0" fontId="2" fillId="7" borderId="2">
      <alignment horizontal="center" vertical="top" wrapText="1"/>
    </xf>
    <xf numFmtId="0" fontId="2" fillId="8" borderId="2">
      <alignment horizontal="center" vertical="top" wrapText="1"/>
    </xf>
    <xf numFmtId="0" fontId="1" fillId="7" borderId="2">
      <alignment horizontal="center" vertical="top" wrapText="1"/>
    </xf>
    <xf numFmtId="0" fontId="1" fillId="8" borderId="2">
      <alignment horizontal="center" vertical="top" wrapText="1"/>
    </xf>
    <xf numFmtId="9" fontId="15" fillId="0" borderId="0" applyFont="0" applyFill="0" applyBorder="0" applyAlignment="0" applyProtection="0"/>
  </cellStyleXfs>
  <cellXfs count="5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1">
      <alignment horizontal="center" vertical="top" wrapText="1"/>
    </xf>
    <xf numFmtId="164" fontId="1" fillId="7" borderId="2" xfId="3" applyNumberFormat="1">
      <alignment horizontal="center" vertical="top" wrapText="1"/>
    </xf>
    <xf numFmtId="0" fontId="2" fillId="8" borderId="2" xfId="2">
      <alignment horizontal="center" vertical="top" wrapText="1"/>
    </xf>
    <xf numFmtId="164" fontId="1" fillId="8" borderId="2" xfId="4" applyNumberFormat="1">
      <alignment horizontal="center" vertical="top" wrapText="1"/>
    </xf>
    <xf numFmtId="165" fontId="1" fillId="8" borderId="2" xfId="4" applyNumberFormat="1">
      <alignment horizontal="center" vertical="top" wrapText="1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vertical="top"/>
    </xf>
    <xf numFmtId="0" fontId="7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top" wrapText="1"/>
    </xf>
    <xf numFmtId="0" fontId="8" fillId="6" borderId="2" xfId="0" applyFont="1" applyFill="1" applyBorder="1" applyAlignment="1">
      <alignment horizontal="center" vertical="center" wrapText="1"/>
    </xf>
    <xf numFmtId="0" fontId="9" fillId="0" borderId="0" xfId="0" applyFont="1"/>
    <xf numFmtId="0" fontId="12" fillId="0" borderId="0" xfId="0" applyFont="1"/>
    <xf numFmtId="0" fontId="10" fillId="10" borderId="4" xfId="0" applyFont="1" applyFill="1" applyBorder="1"/>
    <xf numFmtId="0" fontId="10" fillId="0" borderId="4" xfId="0" applyFont="1" applyBorder="1"/>
    <xf numFmtId="1" fontId="0" fillId="0" borderId="0" xfId="0" applyNumberFormat="1"/>
    <xf numFmtId="0" fontId="10" fillId="10" borderId="6" xfId="0" applyFont="1" applyFill="1" applyBorder="1"/>
    <xf numFmtId="0" fontId="10" fillId="0" borderId="6" xfId="0" applyFont="1" applyBorder="1"/>
    <xf numFmtId="1" fontId="11" fillId="9" borderId="7" xfId="0" applyNumberFormat="1" applyFont="1" applyFill="1" applyBorder="1"/>
    <xf numFmtId="0" fontId="11" fillId="9" borderId="9" xfId="0" applyFont="1" applyFill="1" applyBorder="1"/>
    <xf numFmtId="0" fontId="14" fillId="11" borderId="0" xfId="0" applyFont="1" applyFill="1" applyAlignment="1">
      <alignment horizontal="center" vertical="center"/>
    </xf>
    <xf numFmtId="0" fontId="9" fillId="12" borderId="0" xfId="0" applyFont="1" applyFill="1"/>
    <xf numFmtId="0" fontId="10" fillId="12" borderId="0" xfId="0" applyFont="1" applyFill="1"/>
    <xf numFmtId="0" fontId="10" fillId="0" borderId="10" xfId="0" applyFont="1" applyBorder="1"/>
    <xf numFmtId="0" fontId="10" fillId="0" borderId="11" xfId="0" applyFont="1" applyBorder="1"/>
    <xf numFmtId="166" fontId="0" fillId="0" borderId="0" xfId="0" applyNumberFormat="1"/>
    <xf numFmtId="166" fontId="11" fillId="9" borderId="8" xfId="0" applyNumberFormat="1" applyFont="1" applyFill="1" applyBorder="1"/>
    <xf numFmtId="166" fontId="10" fillId="10" borderId="5" xfId="0" applyNumberFormat="1" applyFont="1" applyFill="1" applyBorder="1"/>
    <xf numFmtId="166" fontId="10" fillId="0" borderId="5" xfId="0" applyNumberFormat="1" applyFont="1" applyBorder="1"/>
    <xf numFmtId="166" fontId="10" fillId="0" borderId="12" xfId="0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7" fontId="0" fillId="0" borderId="0" xfId="5" applyNumberFormat="1" applyFont="1"/>
    <xf numFmtId="0" fontId="17" fillId="0" borderId="0" xfId="0" applyFont="1"/>
    <xf numFmtId="166" fontId="17" fillId="0" borderId="0" xfId="0" applyNumberFormat="1" applyFont="1"/>
    <xf numFmtId="166" fontId="16" fillId="0" borderId="0" xfId="0" applyNumberFormat="1" applyFont="1"/>
    <xf numFmtId="9" fontId="18" fillId="0" borderId="0" xfId="5" applyFont="1"/>
    <xf numFmtId="0" fontId="16" fillId="0" borderId="0" xfId="0" applyFont="1"/>
    <xf numFmtId="0" fontId="19" fillId="0" borderId="0" xfId="0" applyFont="1"/>
    <xf numFmtId="166" fontId="9" fillId="0" borderId="0" xfId="0" applyNumberFormat="1" applyFont="1"/>
    <xf numFmtId="10" fontId="17" fillId="0" borderId="0" xfId="5" applyNumberFormat="1" applyFont="1"/>
    <xf numFmtId="0" fontId="0" fillId="0" borderId="0" xfId="0"/>
    <xf numFmtId="0" fontId="1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4" fillId="11" borderId="0" xfId="0" applyFont="1" applyFill="1" applyAlignment="1">
      <alignment horizontal="center" vertical="center"/>
    </xf>
    <xf numFmtId="168" fontId="17" fillId="0" borderId="0" xfId="5" applyNumberFormat="1" applyFont="1"/>
  </cellXfs>
  <cellStyles count="6">
    <cellStyle name="Normal" xfId="0" builtinId="0"/>
    <cellStyle name="Percent" xfId="5" builtinId="5"/>
    <cellStyle name="TableEvenline" xfId="2" xr:uid="{00000000-0005-0000-0000-000002000000}"/>
    <cellStyle name="TableEvenlineData" xfId="4" xr:uid="{00000000-0005-0000-0000-000004000000}"/>
    <cellStyle name="TableOddline" xfId="1" xr:uid="{00000000-0005-0000-0000-000001000000}"/>
    <cellStyle name="TableOddlineData" xfId="3" xr:uid="{00000000-0005-0000-0000-000003000000}"/>
  </cellStyles>
  <dxfs count="10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B050"/>
      </font>
      <fill>
        <patternFill>
          <fgColor auto="1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29A8EF"/>
      <rgbColor rgb="FFE2EAF0"/>
      <rgbColor rgb="FFDDDDDD"/>
      <rgbColor rgb="FFD0F38B"/>
      <rgbColor rgb="FFE2F7B4"/>
      <rgbColor rgb="FFEDEDED"/>
      <rgbColor rgb="FF005586"/>
      <rgbColor rgb="FF121212"/>
      <rgbColor rgb="FF9BE401"/>
      <rgbColor rgb="FF444444"/>
      <rgbColor rgb="FFDCDBDB"/>
      <rgbColor rgb="FFEBEBEB"/>
      <rgbColor rgb="FFF9F9F9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Emprego Por Setor </a:t>
            </a:r>
          </a:p>
        </c:rich>
      </c:tx>
      <c:layout>
        <c:manualLayout>
          <c:xMode val="edge"/>
          <c:yMode val="edge"/>
          <c:x val="0.41193133809284727"/>
          <c:y val="2.11714890613973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DataPrep!$E$1:$E$2</c:f>
              <c:strCache>
                <c:ptCount val="2"/>
                <c:pt idx="0">
                  <c:v>Emprego Por Setor</c:v>
                </c:pt>
                <c:pt idx="1">
                  <c:v>Empregos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B4-4EFD-8849-DFD69AF4EA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DataPrep!$D$3:$D$15</c:f>
              <c:strCache>
                <c:ptCount val="13"/>
                <c:pt idx="0">
                  <c:v>Agricultura, produção animal, caça, silvicultura e pesca</c:v>
                </c:pt>
                <c:pt idx="1">
                  <c:v>Indústrias extrativas</c:v>
                </c:pt>
                <c:pt idx="2">
                  <c:v>Indústrias transformadoras</c:v>
                </c:pt>
                <c:pt idx="3">
                  <c:v>Eletricidade, gás e água</c:v>
                </c:pt>
                <c:pt idx="4">
                  <c:v>Construção</c:v>
                </c:pt>
                <c:pt idx="5">
                  <c:v>Comércio por grosso e a retalho (...)</c:v>
                </c:pt>
                <c:pt idx="6">
                  <c:v>Transporte e armazenagem</c:v>
                </c:pt>
                <c:pt idx="7">
                  <c:v>Alojamento, restauração e similares</c:v>
                </c:pt>
                <c:pt idx="8">
                  <c:v>Atividades financeiras e de seguros</c:v>
                </c:pt>
                <c:pt idx="9">
                  <c:v>Atividades imobiliárias</c:v>
                </c:pt>
                <c:pt idx="10">
                  <c:v>Educação</c:v>
                </c:pt>
                <c:pt idx="11">
                  <c:v>Atividades de saúde humana e apoio social</c:v>
                </c:pt>
                <c:pt idx="12">
                  <c:v>Outros setores</c:v>
                </c:pt>
              </c:strCache>
            </c:strRef>
          </c:cat>
          <c:val>
            <c:numRef>
              <c:f>DataPrep!$E$3:$E$15</c:f>
              <c:numCache>
                <c:formatCode>#\ ##0.000</c:formatCode>
                <c:ptCount val="13"/>
                <c:pt idx="0">
                  <c:v>3908.1000000000008</c:v>
                </c:pt>
                <c:pt idx="1">
                  <c:v>257</c:v>
                </c:pt>
                <c:pt idx="2">
                  <c:v>14439.500000000002</c:v>
                </c:pt>
                <c:pt idx="3">
                  <c:v>950.99999999999989</c:v>
                </c:pt>
                <c:pt idx="4">
                  <c:v>6338</c:v>
                </c:pt>
                <c:pt idx="5">
                  <c:v>12772.699999999999</c:v>
                </c:pt>
                <c:pt idx="6">
                  <c:v>3586.2999999999997</c:v>
                </c:pt>
                <c:pt idx="7">
                  <c:v>5393.5999999999995</c:v>
                </c:pt>
                <c:pt idx="8">
                  <c:v>1853.3</c:v>
                </c:pt>
                <c:pt idx="9">
                  <c:v>704.19999999999993</c:v>
                </c:pt>
                <c:pt idx="10">
                  <c:v>7017.1</c:v>
                </c:pt>
                <c:pt idx="11">
                  <c:v>7626.6</c:v>
                </c:pt>
                <c:pt idx="12">
                  <c:v>19939.3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4-4EFD-8849-DFD69AF4E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1662416"/>
        <c:axId val="1901662896"/>
      </c:barChart>
      <c:catAx>
        <c:axId val="1901662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01662896"/>
        <c:crosses val="autoZero"/>
        <c:auto val="1"/>
        <c:lblAlgn val="ctr"/>
        <c:lblOffset val="100"/>
        <c:noMultiLvlLbl val="0"/>
      </c:catAx>
      <c:valAx>
        <c:axId val="1901662896"/>
        <c:scaling>
          <c:orientation val="minMax"/>
        </c:scaling>
        <c:delete val="1"/>
        <c:axPos val="b"/>
        <c:numFmt formatCode="#\ ##0.000" sourceLinked="1"/>
        <c:majorTickMark val="none"/>
        <c:minorTickMark val="none"/>
        <c:tickLblPos val="nextTo"/>
        <c:crossAx val="190166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Evolução</a:t>
            </a:r>
            <a:r>
              <a:rPr lang="en-US" b="1" baseline="0"/>
              <a:t> do emprego (2008-2025)</a:t>
            </a:r>
            <a:endParaRPr lang="en-US" b="1"/>
          </a:p>
        </c:rich>
      </c:tx>
      <c:layout>
        <c:manualLayout>
          <c:xMode val="edge"/>
          <c:yMode val="edge"/>
          <c:x val="0.2381526684164479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DataPrep!$E$18:$E$19</c:f>
              <c:strCache>
                <c:ptCount val="2"/>
                <c:pt idx="0">
                  <c:v>EVOLUÇÃO AO LONGO DO TEMPO</c:v>
                </c:pt>
                <c:pt idx="1">
                  <c:v>Empregos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DataPrep!$D$20:$D$37</c:f>
              <c:numCache>
                <c:formatCode>General</c:formatCode>
                <c:ptCount val="1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</c:numCache>
            </c:numRef>
          </c:cat>
          <c:val>
            <c:numRef>
              <c:f>DataPrep!$E$20:$E$37</c:f>
              <c:numCache>
                <c:formatCode>#\ ##0.000</c:formatCode>
                <c:ptCount val="18"/>
                <c:pt idx="0">
                  <c:v>5116.6000000000004</c:v>
                </c:pt>
                <c:pt idx="1">
                  <c:v>4968.5999999999995</c:v>
                </c:pt>
                <c:pt idx="2">
                  <c:v>4898.3999999999996</c:v>
                </c:pt>
                <c:pt idx="3">
                  <c:v>4422.5000000000009</c:v>
                </c:pt>
                <c:pt idx="4">
                  <c:v>4217.5</c:v>
                </c:pt>
                <c:pt idx="5">
                  <c:v>4139.5</c:v>
                </c:pt>
                <c:pt idx="6">
                  <c:v>4266.8</c:v>
                </c:pt>
                <c:pt idx="7">
                  <c:v>4353.3999999999996</c:v>
                </c:pt>
                <c:pt idx="8">
                  <c:v>4439</c:v>
                </c:pt>
                <c:pt idx="9">
                  <c:v>4601.2</c:v>
                </c:pt>
                <c:pt idx="10">
                  <c:v>4731.5</c:v>
                </c:pt>
                <c:pt idx="11">
                  <c:v>4789.8999999999996</c:v>
                </c:pt>
                <c:pt idx="12">
                  <c:v>4680.2000000000007</c:v>
                </c:pt>
                <c:pt idx="13">
                  <c:v>4782.8999999999996</c:v>
                </c:pt>
                <c:pt idx="14">
                  <c:v>4939.8999999999996</c:v>
                </c:pt>
                <c:pt idx="15">
                  <c:v>5051.2</c:v>
                </c:pt>
                <c:pt idx="16">
                  <c:v>5112.3</c:v>
                </c:pt>
                <c:pt idx="17">
                  <c:v>5275.3000000000011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D8-4DA3-88DA-D3F161FFC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1668656"/>
        <c:axId val="1901667696"/>
      </c:lineChart>
      <c:catAx>
        <c:axId val="190166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01667696"/>
        <c:crosses val="autoZero"/>
        <c:auto val="1"/>
        <c:lblAlgn val="ctr"/>
        <c:lblOffset val="100"/>
        <c:noMultiLvlLbl val="0"/>
      </c:catAx>
      <c:valAx>
        <c:axId val="1901667696"/>
        <c:scaling>
          <c:orientation val="minMax"/>
        </c:scaling>
        <c:delete val="0"/>
        <c:axPos val="l"/>
        <c:numFmt formatCode="#\ 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0166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  <cx:data id="1">
      <cx:strDim type="cat">
        <cx:f>_xlchart.v5.0</cx:f>
      </cx:strDim>
      <cx:numDim type="val">
        <cx:f>_xlchart.v5.4</cx:f>
      </cx:numDim>
    </cx:data>
  </cx:chartData>
  <cx:chart>
    <cx:title pos="t" align="ctr" overlay="1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Crescimento  Ano a Ano %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</a:t>
            </a:r>
          </a:p>
        </cx:rich>
      </cx:tx>
    </cx:title>
    <cx:plotArea>
      <cx:plotAreaRegion>
        <cx:series layoutId="waterfall" uniqueId="{CF4111A5-6429-40FC-A745-9A77C24AB42C}" formatIdx="0">
          <cx:tx>
            <cx:txData>
              <cx:f>_xlchart.v5.1</cx:f>
              <cx:v>Crescimento%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FCA9D24D-216C-4D26-9D1F-E539CB7173F3}" formatIdx="1">
          <cx:tx>
            <cx:txData>
              <cx:f>_xlchart.v5.3</cx:f>
              <cx:v/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ckLabels/>
      </cx:axis>
    </cx:plotArea>
  </cx:chart>
  <cx:spPr>
    <a:ln>
      <a:noFill/>
    </a:ln>
  </cx:spPr>
  <cx:fmtOvrs>
    <cx:fmtOvr idx="2">
      <cx:spPr>
        <a:ln>
          <a:solidFill>
            <a:schemeClr val="bg1"/>
          </a:solidFill>
          <a:round/>
        </a:ln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246822</xdr:colOff>
      <xdr:row>0</xdr:row>
      <xdr:rowOff>485105</xdr:rowOff>
    </xdr:to>
    <xdr:pic>
      <xdr:nvPicPr>
        <xdr:cNvPr id="2" name="Picture 738ee1e9-252c-49f7-9d9e-4017181ce7c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  <xdr:twoCellAnchor editAs="oneCell">
    <xdr:from>
      <xdr:col>255</xdr:col>
      <xdr:colOff>0</xdr:colOff>
      <xdr:row>0</xdr:row>
      <xdr:rowOff>0</xdr:rowOff>
    </xdr:from>
    <xdr:to>
      <xdr:col>255</xdr:col>
      <xdr:colOff>1342011</xdr:colOff>
      <xdr:row>0</xdr:row>
      <xdr:rowOff>485105</xdr:rowOff>
    </xdr:to>
    <xdr:pic>
      <xdr:nvPicPr>
        <xdr:cNvPr id="3" name="Picture 49a52b67-6744-40a5-a2ef-551ee661ac9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121920</xdr:colOff>
      <xdr:row>0</xdr:row>
      <xdr:rowOff>99060</xdr:rowOff>
    </xdr:from>
    <xdr:to>
      <xdr:col>18</xdr:col>
      <xdr:colOff>7620</xdr:colOff>
      <xdr:row>4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E6ED38-D281-3561-18A0-A4AC0F556618}"/>
            </a:ext>
          </a:extLst>
        </xdr:cNvPr>
        <xdr:cNvSpPr txBox="1"/>
      </xdr:nvSpPr>
      <xdr:spPr>
        <a:xfrm>
          <a:off x="3368040" y="99060"/>
          <a:ext cx="9212580" cy="701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2800" b="1"/>
            <a:t>Anális</a:t>
          </a:r>
          <a:r>
            <a:rPr lang="pt-PT" sz="2800" b="1" baseline="0"/>
            <a:t>e de emprego em portugal 2008-2025</a:t>
          </a:r>
          <a:endParaRPr lang="pt-PT" sz="2800" b="1"/>
        </a:p>
      </xdr:txBody>
    </xdr:sp>
    <xdr:clientData/>
  </xdr:twoCellAnchor>
  <xdr:twoCellAnchor>
    <xdr:from>
      <xdr:col>7</xdr:col>
      <xdr:colOff>556260</xdr:colOff>
      <xdr:row>4</xdr:row>
      <xdr:rowOff>47897</xdr:rowOff>
    </xdr:from>
    <xdr:to>
      <xdr:col>10</xdr:col>
      <xdr:colOff>502920</xdr:colOff>
      <xdr:row>6</xdr:row>
      <xdr:rowOff>55517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C9EA27-C27B-7B98-10CB-A3F6BE330697}"/>
            </a:ext>
          </a:extLst>
        </xdr:cNvPr>
        <xdr:cNvSpPr txBox="1"/>
      </xdr:nvSpPr>
      <xdr:spPr>
        <a:xfrm>
          <a:off x="5792289" y="701040"/>
          <a:ext cx="2221774" cy="3341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2000" b="1"/>
            <a:t>Total Emprego</a:t>
          </a:r>
        </a:p>
        <a:p>
          <a:r>
            <a:rPr lang="pt-PT" sz="2000" b="1" baseline="0"/>
            <a:t> </a:t>
          </a:r>
          <a:endParaRPr lang="pt-PT" sz="2000" b="1"/>
        </a:p>
      </xdr:txBody>
    </xdr:sp>
    <xdr:clientData/>
  </xdr:twoCellAnchor>
  <xdr:twoCellAnchor>
    <xdr:from>
      <xdr:col>12</xdr:col>
      <xdr:colOff>495300</xdr:colOff>
      <xdr:row>4</xdr:row>
      <xdr:rowOff>83820</xdr:rowOff>
    </xdr:from>
    <xdr:to>
      <xdr:col>17</xdr:col>
      <xdr:colOff>15240</xdr:colOff>
      <xdr:row>6</xdr:row>
      <xdr:rowOff>160020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06FEDDF-7FF8-90A2-6956-85F6E6F17140}"/>
            </a:ext>
          </a:extLst>
        </xdr:cNvPr>
        <xdr:cNvSpPr txBox="1"/>
      </xdr:nvSpPr>
      <xdr:spPr>
        <a:xfrm>
          <a:off x="8854440" y="754380"/>
          <a:ext cx="2598420" cy="4114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2000" b="1"/>
            <a:t>Crescimento</a:t>
          </a:r>
          <a:r>
            <a:rPr lang="pt-PT" sz="2000" b="1" baseline="0"/>
            <a:t> Médio	</a:t>
          </a:r>
          <a:endParaRPr lang="pt-PT" sz="2000" b="1"/>
        </a:p>
      </xdr:txBody>
    </xdr:sp>
    <xdr:clientData/>
  </xdr:twoCellAnchor>
  <xdr:twoCellAnchor>
    <xdr:from>
      <xdr:col>3</xdr:col>
      <xdr:colOff>807720</xdr:colOff>
      <xdr:row>4</xdr:row>
      <xdr:rowOff>83820</xdr:rowOff>
    </xdr:from>
    <xdr:to>
      <xdr:col>6</xdr:col>
      <xdr:colOff>381000</xdr:colOff>
      <xdr:row>6</xdr:row>
      <xdr:rowOff>91440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1EFC7BB-46E3-4CD4-36FA-ACECDF16385B}"/>
            </a:ext>
          </a:extLst>
        </xdr:cNvPr>
        <xdr:cNvSpPr txBox="1"/>
      </xdr:nvSpPr>
      <xdr:spPr>
        <a:xfrm>
          <a:off x="2682240" y="754380"/>
          <a:ext cx="164592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2000" b="1"/>
            <a:t>Setor</a:t>
          </a:r>
          <a:r>
            <a:rPr lang="pt-PT" sz="2000" b="1" baseline="0"/>
            <a:t> Líder</a:t>
          </a:r>
          <a:endParaRPr lang="pt-PT" sz="2000" b="1"/>
        </a:p>
      </xdr:txBody>
    </xdr:sp>
    <xdr:clientData/>
  </xdr:twoCellAnchor>
  <xdr:twoCellAnchor>
    <xdr:from>
      <xdr:col>1</xdr:col>
      <xdr:colOff>160020</xdr:colOff>
      <xdr:row>8</xdr:row>
      <xdr:rowOff>60960</xdr:rowOff>
    </xdr:from>
    <xdr:to>
      <xdr:col>9</xdr:col>
      <xdr:colOff>114300</xdr:colOff>
      <xdr:row>28</xdr:row>
      <xdr:rowOff>129540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A5F746-8721-4DCB-B081-4A7F10EC6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547400</xdr:colOff>
      <xdr:row>8</xdr:row>
      <xdr:rowOff>29121</xdr:rowOff>
    </xdr:from>
    <xdr:to>
      <xdr:col>18</xdr:col>
      <xdr:colOff>555020</xdr:colOff>
      <xdr:row>27</xdr:row>
      <xdr:rowOff>167975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D686708-A73F-42A8-8DFD-54DA95A9B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29</xdr:row>
      <xdr:rowOff>129540</xdr:rowOff>
    </xdr:from>
    <xdr:to>
      <xdr:col>9</xdr:col>
      <xdr:colOff>0</xdr:colOff>
      <xdr:row>50</xdr:row>
      <xdr:rowOff>97972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BAA0BD97-8BD2-460C-A956-FC6E11DADA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5189220"/>
              <a:ext cx="6804660" cy="34888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213360</xdr:colOff>
      <xdr:row>30</xdr:row>
      <xdr:rowOff>108857</xdr:rowOff>
    </xdr:from>
    <xdr:to>
      <xdr:col>18</xdr:col>
      <xdr:colOff>518160</xdr:colOff>
      <xdr:row>41</xdr:row>
      <xdr:rowOff>108857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98E0E41-8698-AD7A-4D6A-F2F96141FA4D}"/>
            </a:ext>
          </a:extLst>
        </xdr:cNvPr>
        <xdr:cNvSpPr txBox="1"/>
      </xdr:nvSpPr>
      <xdr:spPr>
        <a:xfrm>
          <a:off x="7855131" y="5214257"/>
          <a:ext cx="5214258" cy="17961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2000" b="1"/>
            <a:t>INSIGHTS</a:t>
          </a:r>
        </a:p>
        <a:p>
          <a:endParaRPr lang="pt-PT"/>
        </a:p>
        <a:p>
          <a:r>
            <a:rPr lang="pt-PT" sz="1400"/>
            <a:t>-O setor de serviços domina o emprego em Portugal</a:t>
          </a:r>
        </a:p>
        <a:p>
          <a:r>
            <a:rPr lang="pt-PT" sz="1400"/>
            <a:t>- O emprego mostra tendência de crescimento após 2020 </a:t>
          </a:r>
        </a:p>
        <a:p>
          <a:r>
            <a:rPr lang="pt-PT" sz="1400"/>
            <a:t>-Alguns setores apresentam volatilidade significativa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49"/>
  <sheetViews>
    <sheetView showGridLines="0" tabSelected="1" zoomScale="80" zoomScaleNormal="80" workbookViewId="0">
      <selection activeCell="B4" sqref="B4:O4"/>
    </sheetView>
  </sheetViews>
  <sheetFormatPr defaultRowHeight="13.2" x14ac:dyDescent="0.25"/>
  <cols>
    <col min="1" max="256" width="20.6640625" customWidth="1"/>
  </cols>
  <sheetData>
    <row r="1" spans="1:256" ht="40.049999999999997" customHeight="1" x14ac:dyDescent="0.25">
      <c r="IV1" s="2"/>
    </row>
    <row r="2" spans="1:256" ht="7.0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1:256" x14ac:dyDescent="0.2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</row>
    <row r="4" spans="1:256" ht="70.05" customHeight="1" x14ac:dyDescent="0.25">
      <c r="B4" s="49" t="s">
        <v>0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</row>
    <row r="5" spans="1:256" ht="30" customHeight="1" x14ac:dyDescent="0.25">
      <c r="B5" s="51" t="s">
        <v>1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</row>
    <row r="6" spans="1:256" x14ac:dyDescent="0.25">
      <c r="B6" s="53" t="s">
        <v>3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</row>
    <row r="7" spans="1:256" ht="49.35" customHeight="1" x14ac:dyDescent="0.25">
      <c r="A7" s="52" t="s">
        <v>2</v>
      </c>
      <c r="B7" s="54" t="s">
        <v>4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</row>
    <row r="8" spans="1:256" ht="44.4" customHeight="1" x14ac:dyDescent="0.25">
      <c r="A8" s="52"/>
      <c r="B8" s="4" t="s">
        <v>5</v>
      </c>
      <c r="C8" s="17" t="s">
        <v>6</v>
      </c>
      <c r="D8" s="17" t="s">
        <v>7</v>
      </c>
      <c r="E8" s="17" t="s">
        <v>8</v>
      </c>
      <c r="F8" s="17" t="s">
        <v>9</v>
      </c>
      <c r="G8" s="17" t="s">
        <v>10</v>
      </c>
      <c r="H8" s="17" t="s">
        <v>11</v>
      </c>
      <c r="I8" s="17" t="s">
        <v>12</v>
      </c>
      <c r="J8" s="17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</row>
    <row r="9" spans="1:256" x14ac:dyDescent="0.25">
      <c r="A9" s="5">
        <v>2008</v>
      </c>
      <c r="B9" s="6">
        <v>5116.6000000000004</v>
      </c>
      <c r="C9" s="6">
        <v>585.29999999999995</v>
      </c>
      <c r="D9" s="6">
        <v>17.3</v>
      </c>
      <c r="E9" s="6">
        <v>869.7</v>
      </c>
      <c r="F9" s="6">
        <v>56.8</v>
      </c>
      <c r="G9" s="6">
        <v>539.6</v>
      </c>
      <c r="H9" s="6">
        <v>750</v>
      </c>
      <c r="I9" s="6">
        <v>175</v>
      </c>
      <c r="J9" s="6">
        <v>317.5</v>
      </c>
      <c r="K9" s="6">
        <v>95</v>
      </c>
      <c r="L9" s="6">
        <v>26.7</v>
      </c>
      <c r="M9" s="6">
        <v>341.8</v>
      </c>
      <c r="N9" s="6">
        <v>300.89999999999998</v>
      </c>
      <c r="O9" s="6">
        <v>1041</v>
      </c>
    </row>
    <row r="10" spans="1:256" x14ac:dyDescent="0.25">
      <c r="A10" s="7">
        <v>2009</v>
      </c>
      <c r="B10" s="8">
        <v>4968.6000000000004</v>
      </c>
      <c r="C10" s="8">
        <v>568.79999999999995</v>
      </c>
      <c r="D10" s="8">
        <v>17.399999999999999</v>
      </c>
      <c r="E10" s="8">
        <v>825</v>
      </c>
      <c r="F10" s="8">
        <v>49.3</v>
      </c>
      <c r="G10" s="8">
        <v>489.7</v>
      </c>
      <c r="H10" s="8">
        <v>744.7</v>
      </c>
      <c r="I10" s="8">
        <v>175.5</v>
      </c>
      <c r="J10" s="8">
        <v>291.7</v>
      </c>
      <c r="K10" s="8">
        <v>86.9</v>
      </c>
      <c r="L10" s="8">
        <v>33.299999999999997</v>
      </c>
      <c r="M10" s="8">
        <v>355.7</v>
      </c>
      <c r="N10" s="8">
        <v>320</v>
      </c>
      <c r="O10" s="8">
        <v>1010.6</v>
      </c>
    </row>
    <row r="11" spans="1:256" x14ac:dyDescent="0.25">
      <c r="A11" s="5">
        <v>2010</v>
      </c>
      <c r="B11" s="6">
        <v>4898.3999999999996</v>
      </c>
      <c r="C11" s="6">
        <v>548.5</v>
      </c>
      <c r="D11" s="6">
        <v>19.2</v>
      </c>
      <c r="E11" s="6">
        <v>801.7</v>
      </c>
      <c r="F11" s="6">
        <v>47.3</v>
      </c>
      <c r="G11" s="6">
        <v>466.8</v>
      </c>
      <c r="H11" s="6">
        <v>719</v>
      </c>
      <c r="I11" s="6">
        <v>174</v>
      </c>
      <c r="J11" s="6">
        <v>287</v>
      </c>
      <c r="K11" s="6">
        <v>86.6</v>
      </c>
      <c r="L11" s="6">
        <v>27.6</v>
      </c>
      <c r="M11" s="6">
        <v>366.1</v>
      </c>
      <c r="N11" s="6">
        <v>347.4</v>
      </c>
      <c r="O11" s="6">
        <v>1007.2</v>
      </c>
    </row>
    <row r="12" spans="1:256" x14ac:dyDescent="0.25">
      <c r="A12" s="7">
        <v>2011</v>
      </c>
      <c r="B12" s="9">
        <v>4422.5</v>
      </c>
      <c r="C12" s="9">
        <v>173.9</v>
      </c>
      <c r="D12" s="9">
        <v>18.3</v>
      </c>
      <c r="E12" s="9">
        <v>780</v>
      </c>
      <c r="F12" s="9">
        <v>48.6</v>
      </c>
      <c r="G12" s="9">
        <v>424</v>
      </c>
      <c r="H12" s="9">
        <v>693.2</v>
      </c>
      <c r="I12" s="9">
        <v>167.8</v>
      </c>
      <c r="J12" s="9">
        <v>286.3</v>
      </c>
      <c r="K12" s="9">
        <v>103.8</v>
      </c>
      <c r="L12" s="9">
        <v>24.8</v>
      </c>
      <c r="M12" s="9">
        <v>363</v>
      </c>
      <c r="N12" s="9">
        <v>360.8</v>
      </c>
      <c r="O12" s="9">
        <v>978</v>
      </c>
    </row>
    <row r="13" spans="1:256" x14ac:dyDescent="0.25">
      <c r="A13" s="5">
        <v>2012</v>
      </c>
      <c r="B13" s="6">
        <v>4217.5</v>
      </c>
      <c r="C13" s="6">
        <v>170.1</v>
      </c>
      <c r="D13" s="6">
        <v>13.5</v>
      </c>
      <c r="E13" s="6">
        <v>738.2</v>
      </c>
      <c r="F13" s="6">
        <v>46.3</v>
      </c>
      <c r="G13" s="6">
        <v>342.2</v>
      </c>
      <c r="H13" s="6">
        <v>659.8</v>
      </c>
      <c r="I13" s="6">
        <v>166</v>
      </c>
      <c r="J13" s="6">
        <v>275.60000000000002</v>
      </c>
      <c r="K13" s="6">
        <v>96.9</v>
      </c>
      <c r="L13" s="6">
        <v>23.4</v>
      </c>
      <c r="M13" s="6">
        <v>368.9</v>
      </c>
      <c r="N13" s="6">
        <v>369.4</v>
      </c>
      <c r="O13" s="6">
        <v>947.2</v>
      </c>
    </row>
    <row r="14" spans="1:256" x14ac:dyDescent="0.25">
      <c r="A14" s="7">
        <v>2013</v>
      </c>
      <c r="B14" s="8">
        <v>4139.5</v>
      </c>
      <c r="C14" s="8">
        <v>170.1</v>
      </c>
      <c r="D14" s="8">
        <v>13.1</v>
      </c>
      <c r="E14" s="8">
        <v>704</v>
      </c>
      <c r="F14" s="8">
        <v>42.8</v>
      </c>
      <c r="G14" s="8">
        <v>286.5</v>
      </c>
      <c r="H14" s="8">
        <v>641.5</v>
      </c>
      <c r="I14" s="8">
        <v>178.1</v>
      </c>
      <c r="J14" s="8">
        <v>290.89999999999998</v>
      </c>
      <c r="K14" s="8">
        <v>87.3</v>
      </c>
      <c r="L14" s="8">
        <v>27.5</v>
      </c>
      <c r="M14" s="8">
        <v>354.7</v>
      </c>
      <c r="N14" s="8">
        <v>367.3</v>
      </c>
      <c r="O14" s="8">
        <v>975.7</v>
      </c>
    </row>
    <row r="15" spans="1:256" x14ac:dyDescent="0.25">
      <c r="A15" s="5">
        <v>2014</v>
      </c>
      <c r="B15" s="6">
        <v>4266.8</v>
      </c>
      <c r="C15" s="6">
        <v>156</v>
      </c>
      <c r="D15" s="6">
        <v>12.2</v>
      </c>
      <c r="E15" s="6">
        <v>736.6</v>
      </c>
      <c r="F15" s="6">
        <v>46.6</v>
      </c>
      <c r="G15" s="6">
        <v>274.7</v>
      </c>
      <c r="H15" s="6">
        <v>668.2</v>
      </c>
      <c r="I15" s="6">
        <v>174.9</v>
      </c>
      <c r="J15" s="6">
        <v>280.10000000000002</v>
      </c>
      <c r="K15" s="6">
        <v>101.3</v>
      </c>
      <c r="L15" s="6">
        <v>29.9</v>
      </c>
      <c r="M15" s="6">
        <v>357.3</v>
      </c>
      <c r="N15" s="6">
        <v>378.2</v>
      </c>
      <c r="O15" s="6">
        <v>1050.8</v>
      </c>
    </row>
    <row r="16" spans="1:256" x14ac:dyDescent="0.25">
      <c r="A16" s="7">
        <v>2015</v>
      </c>
      <c r="B16" s="8">
        <v>4353.3999999999996</v>
      </c>
      <c r="C16" s="8">
        <v>142.80000000000001</v>
      </c>
      <c r="D16" s="8">
        <v>12.3</v>
      </c>
      <c r="E16" s="8">
        <v>766.5</v>
      </c>
      <c r="F16" s="8">
        <v>48.1</v>
      </c>
      <c r="G16" s="8">
        <v>277.60000000000002</v>
      </c>
      <c r="H16" s="8">
        <v>701.2</v>
      </c>
      <c r="I16" s="8">
        <v>173</v>
      </c>
      <c r="J16" s="8">
        <v>260.2</v>
      </c>
      <c r="K16" s="8">
        <v>109.1</v>
      </c>
      <c r="L16" s="8">
        <v>28</v>
      </c>
      <c r="M16" s="8">
        <v>380.7</v>
      </c>
      <c r="N16" s="8">
        <v>403.7</v>
      </c>
      <c r="O16" s="8">
        <v>1050.2</v>
      </c>
    </row>
    <row r="17" spans="1:15" x14ac:dyDescent="0.25">
      <c r="A17" s="5">
        <v>2016</v>
      </c>
      <c r="B17" s="6">
        <v>4439</v>
      </c>
      <c r="C17" s="6">
        <v>143.4</v>
      </c>
      <c r="D17" s="6">
        <v>11.8</v>
      </c>
      <c r="E17" s="6">
        <v>772</v>
      </c>
      <c r="F17" s="6">
        <v>49.4</v>
      </c>
      <c r="G17" s="6">
        <v>290.10000000000002</v>
      </c>
      <c r="H17" s="6">
        <v>702.7</v>
      </c>
      <c r="I17" s="6">
        <v>191</v>
      </c>
      <c r="J17" s="6">
        <v>281</v>
      </c>
      <c r="K17" s="6">
        <v>113.6</v>
      </c>
      <c r="L17" s="6">
        <v>33.200000000000003</v>
      </c>
      <c r="M17" s="6">
        <v>381.2</v>
      </c>
      <c r="N17" s="6">
        <v>424.3</v>
      </c>
      <c r="O17" s="6">
        <v>1045.3</v>
      </c>
    </row>
    <row r="18" spans="1:15" x14ac:dyDescent="0.25">
      <c r="A18" s="7">
        <v>2017</v>
      </c>
      <c r="B18" s="8">
        <v>4601.2</v>
      </c>
      <c r="C18" s="8">
        <v>139.9</v>
      </c>
      <c r="D18" s="8">
        <v>12.1</v>
      </c>
      <c r="E18" s="8">
        <v>801.1</v>
      </c>
      <c r="F18" s="8">
        <v>52.8</v>
      </c>
      <c r="G18" s="8">
        <v>307.8</v>
      </c>
      <c r="H18" s="8">
        <v>708</v>
      </c>
      <c r="I18" s="8">
        <v>206.3</v>
      </c>
      <c r="J18" s="8">
        <v>324.60000000000002</v>
      </c>
      <c r="K18" s="8">
        <v>108.4</v>
      </c>
      <c r="L18" s="8">
        <v>43.4</v>
      </c>
      <c r="M18" s="8">
        <v>393.4</v>
      </c>
      <c r="N18" s="8">
        <v>438.1</v>
      </c>
      <c r="O18" s="8">
        <v>1065.3</v>
      </c>
    </row>
    <row r="19" spans="1:15" x14ac:dyDescent="0.25">
      <c r="A19" s="5">
        <v>2018</v>
      </c>
      <c r="B19" s="6">
        <v>4731.5</v>
      </c>
      <c r="C19" s="6">
        <v>145.80000000000001</v>
      </c>
      <c r="D19" s="6">
        <v>14.1</v>
      </c>
      <c r="E19" s="6">
        <v>832</v>
      </c>
      <c r="F19" s="6">
        <v>53.2</v>
      </c>
      <c r="G19" s="6">
        <v>305</v>
      </c>
      <c r="H19" s="6">
        <v>703.8</v>
      </c>
      <c r="I19" s="6">
        <v>209.9</v>
      </c>
      <c r="J19" s="6">
        <v>330.7</v>
      </c>
      <c r="K19" s="6">
        <v>114.4</v>
      </c>
      <c r="L19" s="6">
        <v>48.5</v>
      </c>
      <c r="M19" s="6">
        <v>424.2</v>
      </c>
      <c r="N19" s="6">
        <v>446.9</v>
      </c>
      <c r="O19" s="6">
        <v>1103</v>
      </c>
    </row>
    <row r="20" spans="1:15" x14ac:dyDescent="0.25">
      <c r="A20" s="7">
        <v>2019</v>
      </c>
      <c r="B20" s="8">
        <v>4789.8999999999996</v>
      </c>
      <c r="C20" s="8">
        <v>133.80000000000001</v>
      </c>
      <c r="D20" s="8">
        <v>12.8</v>
      </c>
      <c r="E20" s="8">
        <v>831</v>
      </c>
      <c r="F20" s="8">
        <v>57.4</v>
      </c>
      <c r="G20" s="8">
        <v>305.2</v>
      </c>
      <c r="H20" s="8">
        <v>707.8</v>
      </c>
      <c r="I20" s="8">
        <v>220.3</v>
      </c>
      <c r="J20" s="8">
        <v>323.60000000000002</v>
      </c>
      <c r="K20" s="8">
        <v>101.5</v>
      </c>
      <c r="L20" s="8">
        <v>52.3</v>
      </c>
      <c r="M20" s="8">
        <v>418.2</v>
      </c>
      <c r="N20" s="8">
        <v>472.6</v>
      </c>
      <c r="O20" s="8">
        <v>1153.4000000000001</v>
      </c>
    </row>
    <row r="21" spans="1:15" x14ac:dyDescent="0.25">
      <c r="A21" s="5">
        <v>2020</v>
      </c>
      <c r="B21" s="6">
        <v>4680.2</v>
      </c>
      <c r="C21" s="6">
        <v>129.9</v>
      </c>
      <c r="D21" s="6">
        <v>16.2</v>
      </c>
      <c r="E21" s="6">
        <v>821.2</v>
      </c>
      <c r="F21" s="6">
        <v>59.3</v>
      </c>
      <c r="G21" s="6">
        <v>296.60000000000002</v>
      </c>
      <c r="H21" s="6">
        <v>672.3</v>
      </c>
      <c r="I21" s="6">
        <v>212.8</v>
      </c>
      <c r="J21" s="6">
        <v>296.89999999999998</v>
      </c>
      <c r="K21" s="6">
        <v>96</v>
      </c>
      <c r="L21" s="6">
        <v>43</v>
      </c>
      <c r="M21" s="6">
        <v>409.6</v>
      </c>
      <c r="N21" s="6">
        <v>472.9</v>
      </c>
      <c r="O21" s="6">
        <v>1153.5</v>
      </c>
    </row>
    <row r="22" spans="1:15" x14ac:dyDescent="0.25">
      <c r="A22" s="7">
        <v>2021</v>
      </c>
      <c r="B22" s="8">
        <v>4782.8999999999996</v>
      </c>
      <c r="C22" s="8">
        <v>135.4</v>
      </c>
      <c r="D22" s="8">
        <v>9.4</v>
      </c>
      <c r="E22" s="8">
        <v>822.2</v>
      </c>
      <c r="F22" s="8">
        <v>54.1</v>
      </c>
      <c r="G22" s="8">
        <v>314.89999999999998</v>
      </c>
      <c r="H22" s="8">
        <v>718.5</v>
      </c>
      <c r="I22" s="8">
        <v>215.2</v>
      </c>
      <c r="J22" s="8">
        <v>253.3</v>
      </c>
      <c r="K22" s="8">
        <v>120.1</v>
      </c>
      <c r="L22" s="8">
        <v>46.7</v>
      </c>
      <c r="M22" s="8">
        <v>427.5</v>
      </c>
      <c r="N22" s="8">
        <v>490.8</v>
      </c>
      <c r="O22" s="8">
        <v>1174.8</v>
      </c>
    </row>
    <row r="23" spans="1:15" x14ac:dyDescent="0.25">
      <c r="A23" s="5">
        <v>2022</v>
      </c>
      <c r="B23" s="6">
        <v>4939.8999999999996</v>
      </c>
      <c r="C23" s="6">
        <v>138.19999999999999</v>
      </c>
      <c r="D23" s="6">
        <v>10.4</v>
      </c>
      <c r="E23" s="6">
        <v>839.9</v>
      </c>
      <c r="F23" s="6">
        <v>57.8</v>
      </c>
      <c r="G23" s="6">
        <v>330.4</v>
      </c>
      <c r="H23" s="6">
        <v>729.2</v>
      </c>
      <c r="I23" s="6">
        <v>232.1</v>
      </c>
      <c r="J23" s="6">
        <v>300.2</v>
      </c>
      <c r="K23" s="6">
        <v>103.3</v>
      </c>
      <c r="L23" s="6">
        <v>50.1</v>
      </c>
      <c r="M23" s="6">
        <v>419.7</v>
      </c>
      <c r="N23" s="6">
        <v>497.2</v>
      </c>
      <c r="O23" s="6">
        <v>1231.4000000000001</v>
      </c>
    </row>
    <row r="24" spans="1:15" x14ac:dyDescent="0.25">
      <c r="A24" s="7">
        <v>2023</v>
      </c>
      <c r="B24" s="8">
        <v>5051.2</v>
      </c>
      <c r="C24" s="8">
        <v>151.30000000000001</v>
      </c>
      <c r="D24" s="8">
        <v>15</v>
      </c>
      <c r="E24" s="8">
        <v>833.5</v>
      </c>
      <c r="F24" s="8">
        <v>58.5</v>
      </c>
      <c r="G24" s="8">
        <v>354.8</v>
      </c>
      <c r="H24" s="8">
        <v>729</v>
      </c>
      <c r="I24" s="8">
        <v>232</v>
      </c>
      <c r="J24" s="8">
        <v>335.2</v>
      </c>
      <c r="K24" s="8">
        <v>108.9</v>
      </c>
      <c r="L24" s="8">
        <v>54.3</v>
      </c>
      <c r="M24" s="8">
        <v>406</v>
      </c>
      <c r="N24" s="8">
        <v>504</v>
      </c>
      <c r="O24" s="8">
        <v>1268.7</v>
      </c>
    </row>
    <row r="25" spans="1:15" x14ac:dyDescent="0.25">
      <c r="A25" s="5">
        <v>2024</v>
      </c>
      <c r="B25" s="6">
        <v>5112.3</v>
      </c>
      <c r="C25" s="6">
        <v>145.9</v>
      </c>
      <c r="D25" s="6">
        <v>16.399999999999999</v>
      </c>
      <c r="E25" s="6">
        <v>826.9</v>
      </c>
      <c r="F25" s="6">
        <v>62.3</v>
      </c>
      <c r="G25" s="6">
        <v>359.5</v>
      </c>
      <c r="H25" s="6">
        <v>754.4</v>
      </c>
      <c r="I25" s="6">
        <v>234.7</v>
      </c>
      <c r="J25" s="6">
        <v>318</v>
      </c>
      <c r="K25" s="6">
        <v>109.8</v>
      </c>
      <c r="L25" s="6">
        <v>54.7</v>
      </c>
      <c r="M25" s="6">
        <v>427.1</v>
      </c>
      <c r="N25" s="6">
        <v>497.8</v>
      </c>
      <c r="O25" s="6">
        <v>1304.8</v>
      </c>
    </row>
    <row r="26" spans="1:15" x14ac:dyDescent="0.25">
      <c r="A26" s="7">
        <v>2025</v>
      </c>
      <c r="B26" s="8">
        <v>5275.3</v>
      </c>
      <c r="C26" s="8">
        <v>129</v>
      </c>
      <c r="D26" s="8">
        <v>15.5</v>
      </c>
      <c r="E26" s="8">
        <v>838</v>
      </c>
      <c r="F26" s="8">
        <v>60.4</v>
      </c>
      <c r="G26" s="8">
        <v>372.6</v>
      </c>
      <c r="H26" s="8">
        <v>769.4</v>
      </c>
      <c r="I26" s="8">
        <v>247.7</v>
      </c>
      <c r="J26" s="8">
        <v>340.8</v>
      </c>
      <c r="K26" s="8">
        <v>110.4</v>
      </c>
      <c r="L26" s="8">
        <v>56.8</v>
      </c>
      <c r="M26" s="8">
        <v>422</v>
      </c>
      <c r="N26" s="8">
        <v>534.29999999999995</v>
      </c>
      <c r="O26" s="8">
        <v>1378.4</v>
      </c>
    </row>
    <row r="29" spans="1:15" ht="13.05" customHeight="1" x14ac:dyDescent="0.25">
      <c r="A29" s="10" t="s">
        <v>0</v>
      </c>
    </row>
    <row r="30" spans="1:15" ht="13.05" customHeight="1" x14ac:dyDescent="0.25">
      <c r="A30" s="11" t="s">
        <v>19</v>
      </c>
    </row>
    <row r="31" spans="1:15" ht="13.05" customHeight="1" x14ac:dyDescent="0.25">
      <c r="A31" s="11" t="s">
        <v>20</v>
      </c>
    </row>
    <row r="32" spans="1:15" ht="13.05" customHeight="1" x14ac:dyDescent="0.25">
      <c r="A32" s="11" t="s">
        <v>21</v>
      </c>
    </row>
    <row r="36" spans="1:256" ht="15.6" x14ac:dyDescent="0.25">
      <c r="A36" s="12" t="s">
        <v>22</v>
      </c>
    </row>
    <row r="37" spans="1:256" x14ac:dyDescent="0.25">
      <c r="A37" s="13" t="s">
        <v>23</v>
      </c>
      <c r="B37" s="1" t="s">
        <v>24</v>
      </c>
      <c r="C37" s="13" t="s">
        <v>25</v>
      </c>
      <c r="D37" s="1" t="s">
        <v>26</v>
      </c>
      <c r="E37" s="13" t="s">
        <v>27</v>
      </c>
      <c r="F37" s="14" t="s">
        <v>28</v>
      </c>
    </row>
    <row r="38" spans="1:256" x14ac:dyDescent="0.25">
      <c r="A38" s="13" t="s">
        <v>29</v>
      </c>
      <c r="B38" s="1" t="s">
        <v>30</v>
      </c>
      <c r="C38" s="13" t="s">
        <v>31</v>
      </c>
      <c r="D38" s="1" t="s">
        <v>32</v>
      </c>
      <c r="E38" s="13" t="s">
        <v>33</v>
      </c>
      <c r="F38" s="14" t="s">
        <v>34</v>
      </c>
    </row>
    <row r="39" spans="1:256" x14ac:dyDescent="0.25">
      <c r="A39" s="13" t="s">
        <v>35</v>
      </c>
      <c r="B39" s="1" t="s">
        <v>36</v>
      </c>
      <c r="C39" s="13" t="s">
        <v>37</v>
      </c>
      <c r="D39" s="1" t="s">
        <v>38</v>
      </c>
      <c r="E39" s="13" t="s">
        <v>39</v>
      </c>
      <c r="F39" s="14" t="s">
        <v>40</v>
      </c>
    </row>
    <row r="40" spans="1:256" x14ac:dyDescent="0.25">
      <c r="A40" s="13" t="s">
        <v>41</v>
      </c>
      <c r="B40" s="1" t="s">
        <v>42</v>
      </c>
      <c r="C40" s="13" t="s">
        <v>43</v>
      </c>
      <c r="D40" s="1" t="s">
        <v>44</v>
      </c>
      <c r="E40" s="13" t="s">
        <v>45</v>
      </c>
      <c r="F40" s="14" t="s">
        <v>46</v>
      </c>
    </row>
    <row r="41" spans="1:256" x14ac:dyDescent="0.25">
      <c r="A41" s="13" t="s">
        <v>47</v>
      </c>
      <c r="B41" s="1" t="s">
        <v>48</v>
      </c>
      <c r="C41" s="13" t="s">
        <v>49</v>
      </c>
      <c r="D41" s="1" t="s">
        <v>50</v>
      </c>
      <c r="E41" s="13" t="s">
        <v>51</v>
      </c>
      <c r="F41" s="14" t="s">
        <v>52</v>
      </c>
    </row>
    <row r="42" spans="1:256" x14ac:dyDescent="0.25">
      <c r="A42" s="13" t="s">
        <v>53</v>
      </c>
      <c r="B42" s="14" t="s">
        <v>54</v>
      </c>
    </row>
    <row r="46" spans="1:256" ht="1.0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2.75" customHeight="1" x14ac:dyDescent="0.25">
      <c r="A47" s="15" t="s">
        <v>55</v>
      </c>
    </row>
    <row r="49" spans="1:256" ht="12.75" customHeight="1" x14ac:dyDescent="0.25">
      <c r="A49" s="16" t="s">
        <v>56</v>
      </c>
      <c r="B49" s="16" t="s">
        <v>56</v>
      </c>
      <c r="C49" s="16" t="s">
        <v>56</v>
      </c>
      <c r="D49" s="16" t="s">
        <v>56</v>
      </c>
      <c r="E49" s="16" t="s">
        <v>56</v>
      </c>
      <c r="F49" s="16" t="s">
        <v>56</v>
      </c>
      <c r="G49" s="16" t="s">
        <v>56</v>
      </c>
      <c r="H49" s="16" t="s">
        <v>56</v>
      </c>
      <c r="I49" s="16" t="s">
        <v>56</v>
      </c>
      <c r="J49" s="16" t="s">
        <v>56</v>
      </c>
      <c r="K49" s="16" t="s">
        <v>56</v>
      </c>
      <c r="L49" s="16" t="s">
        <v>56</v>
      </c>
      <c r="M49" s="16" t="s">
        <v>56</v>
      </c>
      <c r="N49" s="16" t="s">
        <v>56</v>
      </c>
      <c r="O49" s="16" t="s">
        <v>56</v>
      </c>
      <c r="P49" s="16" t="s">
        <v>56</v>
      </c>
      <c r="Q49" s="16" t="s">
        <v>56</v>
      </c>
      <c r="R49" s="16" t="s">
        <v>56</v>
      </c>
      <c r="S49" s="16" t="s">
        <v>56</v>
      </c>
      <c r="T49" s="16" t="s">
        <v>56</v>
      </c>
      <c r="U49" s="16" t="s">
        <v>56</v>
      </c>
      <c r="V49" s="16" t="s">
        <v>56</v>
      </c>
      <c r="W49" s="16" t="s">
        <v>56</v>
      </c>
      <c r="X49" s="16" t="s">
        <v>56</v>
      </c>
      <c r="Y49" s="16" t="s">
        <v>56</v>
      </c>
      <c r="Z49" s="16" t="s">
        <v>56</v>
      </c>
      <c r="AA49" s="16" t="s">
        <v>56</v>
      </c>
      <c r="AB49" s="16" t="s">
        <v>56</v>
      </c>
      <c r="AC49" s="16" t="s">
        <v>56</v>
      </c>
      <c r="AD49" s="16" t="s">
        <v>56</v>
      </c>
      <c r="AE49" s="16" t="s">
        <v>56</v>
      </c>
      <c r="AF49" s="16" t="s">
        <v>56</v>
      </c>
      <c r="AG49" s="16" t="s">
        <v>56</v>
      </c>
      <c r="AH49" s="16" t="s">
        <v>56</v>
      </c>
      <c r="AI49" s="16" t="s">
        <v>56</v>
      </c>
      <c r="AJ49" s="16" t="s">
        <v>56</v>
      </c>
      <c r="AK49" s="16" t="s">
        <v>56</v>
      </c>
      <c r="AL49" s="16" t="s">
        <v>56</v>
      </c>
      <c r="AM49" s="16" t="s">
        <v>56</v>
      </c>
      <c r="AN49" s="16" t="s">
        <v>56</v>
      </c>
      <c r="AO49" s="16" t="s">
        <v>56</v>
      </c>
      <c r="AP49" s="16" t="s">
        <v>56</v>
      </c>
      <c r="AQ49" s="16" t="s">
        <v>56</v>
      </c>
      <c r="AR49" s="16" t="s">
        <v>56</v>
      </c>
      <c r="AS49" s="16" t="s">
        <v>56</v>
      </c>
      <c r="AT49" s="16" t="s">
        <v>56</v>
      </c>
      <c r="AU49" s="16" t="s">
        <v>56</v>
      </c>
      <c r="AV49" s="16" t="s">
        <v>56</v>
      </c>
      <c r="AW49" s="16" t="s">
        <v>56</v>
      </c>
      <c r="AX49" s="16" t="s">
        <v>56</v>
      </c>
      <c r="AY49" s="16" t="s">
        <v>56</v>
      </c>
      <c r="AZ49" s="16" t="s">
        <v>56</v>
      </c>
      <c r="BA49" s="16" t="s">
        <v>56</v>
      </c>
      <c r="BB49" s="16" t="s">
        <v>56</v>
      </c>
      <c r="BC49" s="16" t="s">
        <v>56</v>
      </c>
      <c r="BD49" s="16" t="s">
        <v>56</v>
      </c>
      <c r="BE49" s="16" t="s">
        <v>56</v>
      </c>
      <c r="BF49" s="16" t="s">
        <v>56</v>
      </c>
      <c r="BG49" s="16" t="s">
        <v>56</v>
      </c>
      <c r="BH49" s="16" t="s">
        <v>56</v>
      </c>
      <c r="BI49" s="16" t="s">
        <v>56</v>
      </c>
      <c r="BJ49" s="16" t="s">
        <v>56</v>
      </c>
      <c r="BK49" s="16" t="s">
        <v>56</v>
      </c>
      <c r="BL49" s="16" t="s">
        <v>56</v>
      </c>
      <c r="BM49" s="16" t="s">
        <v>56</v>
      </c>
      <c r="BN49" s="16" t="s">
        <v>56</v>
      </c>
      <c r="BO49" s="16" t="s">
        <v>56</v>
      </c>
      <c r="BP49" s="16" t="s">
        <v>56</v>
      </c>
      <c r="BQ49" s="16" t="s">
        <v>56</v>
      </c>
      <c r="BR49" s="16" t="s">
        <v>56</v>
      </c>
      <c r="BS49" s="16" t="s">
        <v>56</v>
      </c>
      <c r="BT49" s="16" t="s">
        <v>56</v>
      </c>
      <c r="BU49" s="16" t="s">
        <v>56</v>
      </c>
      <c r="BV49" s="16" t="s">
        <v>56</v>
      </c>
      <c r="BW49" s="16" t="s">
        <v>56</v>
      </c>
      <c r="BX49" s="16" t="s">
        <v>56</v>
      </c>
      <c r="BY49" s="16" t="s">
        <v>56</v>
      </c>
      <c r="BZ49" s="16" t="s">
        <v>56</v>
      </c>
      <c r="CA49" s="16" t="s">
        <v>56</v>
      </c>
      <c r="CB49" s="16" t="s">
        <v>56</v>
      </c>
      <c r="CC49" s="16" t="s">
        <v>56</v>
      </c>
      <c r="CD49" s="16" t="s">
        <v>56</v>
      </c>
      <c r="CE49" s="16" t="s">
        <v>56</v>
      </c>
      <c r="CF49" s="16" t="s">
        <v>56</v>
      </c>
      <c r="CG49" s="16" t="s">
        <v>56</v>
      </c>
      <c r="CH49" s="16" t="s">
        <v>56</v>
      </c>
      <c r="CI49" s="16" t="s">
        <v>56</v>
      </c>
      <c r="CJ49" s="16" t="s">
        <v>56</v>
      </c>
      <c r="CK49" s="16" t="s">
        <v>56</v>
      </c>
      <c r="CL49" s="16" t="s">
        <v>56</v>
      </c>
      <c r="CM49" s="16" t="s">
        <v>56</v>
      </c>
      <c r="CN49" s="16" t="s">
        <v>56</v>
      </c>
      <c r="CO49" s="16" t="s">
        <v>56</v>
      </c>
      <c r="CP49" s="16" t="s">
        <v>56</v>
      </c>
      <c r="CQ49" s="16" t="s">
        <v>56</v>
      </c>
      <c r="CR49" s="16" t="s">
        <v>56</v>
      </c>
      <c r="CS49" s="16" t="s">
        <v>56</v>
      </c>
      <c r="CT49" s="16" t="s">
        <v>56</v>
      </c>
      <c r="CU49" s="16" t="s">
        <v>56</v>
      </c>
      <c r="CV49" s="16" t="s">
        <v>56</v>
      </c>
      <c r="CW49" s="16" t="s">
        <v>56</v>
      </c>
      <c r="CX49" s="16" t="s">
        <v>56</v>
      </c>
      <c r="CY49" s="16" t="s">
        <v>56</v>
      </c>
      <c r="CZ49" s="16" t="s">
        <v>56</v>
      </c>
      <c r="DA49" s="16" t="s">
        <v>56</v>
      </c>
      <c r="DB49" s="16" t="s">
        <v>56</v>
      </c>
      <c r="DC49" s="16" t="s">
        <v>56</v>
      </c>
      <c r="DD49" s="16" t="s">
        <v>56</v>
      </c>
      <c r="DE49" s="16" t="s">
        <v>56</v>
      </c>
      <c r="DF49" s="16" t="s">
        <v>56</v>
      </c>
      <c r="DG49" s="16" t="s">
        <v>56</v>
      </c>
      <c r="DH49" s="16" t="s">
        <v>56</v>
      </c>
      <c r="DI49" s="16" t="s">
        <v>56</v>
      </c>
      <c r="DJ49" s="16" t="s">
        <v>56</v>
      </c>
      <c r="DK49" s="16" t="s">
        <v>56</v>
      </c>
      <c r="DL49" s="16" t="s">
        <v>56</v>
      </c>
      <c r="DM49" s="16" t="s">
        <v>56</v>
      </c>
      <c r="DN49" s="16" t="s">
        <v>56</v>
      </c>
      <c r="DO49" s="16" t="s">
        <v>56</v>
      </c>
      <c r="DP49" s="16" t="s">
        <v>56</v>
      </c>
      <c r="DQ49" s="16" t="s">
        <v>56</v>
      </c>
      <c r="DR49" s="16" t="s">
        <v>56</v>
      </c>
      <c r="DS49" s="16" t="s">
        <v>56</v>
      </c>
      <c r="DT49" s="16" t="s">
        <v>56</v>
      </c>
      <c r="DU49" s="16" t="s">
        <v>56</v>
      </c>
      <c r="DV49" s="16" t="s">
        <v>56</v>
      </c>
      <c r="DW49" s="16" t="s">
        <v>56</v>
      </c>
      <c r="DX49" s="16" t="s">
        <v>56</v>
      </c>
      <c r="DY49" s="16" t="s">
        <v>56</v>
      </c>
      <c r="DZ49" s="16" t="s">
        <v>56</v>
      </c>
      <c r="EA49" s="16" t="s">
        <v>56</v>
      </c>
      <c r="EB49" s="16" t="s">
        <v>56</v>
      </c>
      <c r="EC49" s="16" t="s">
        <v>56</v>
      </c>
      <c r="ED49" s="16" t="s">
        <v>56</v>
      </c>
      <c r="EE49" s="16" t="s">
        <v>56</v>
      </c>
      <c r="EF49" s="16" t="s">
        <v>56</v>
      </c>
      <c r="EG49" s="16" t="s">
        <v>56</v>
      </c>
      <c r="EH49" s="16" t="s">
        <v>56</v>
      </c>
      <c r="EI49" s="16" t="s">
        <v>56</v>
      </c>
      <c r="EJ49" s="16" t="s">
        <v>56</v>
      </c>
      <c r="EK49" s="16" t="s">
        <v>56</v>
      </c>
      <c r="EL49" s="16" t="s">
        <v>56</v>
      </c>
      <c r="EM49" s="16" t="s">
        <v>56</v>
      </c>
      <c r="EN49" s="16" t="s">
        <v>56</v>
      </c>
      <c r="EO49" s="16" t="s">
        <v>56</v>
      </c>
      <c r="EP49" s="16" t="s">
        <v>56</v>
      </c>
      <c r="EQ49" s="16" t="s">
        <v>56</v>
      </c>
      <c r="ER49" s="16" t="s">
        <v>56</v>
      </c>
      <c r="ES49" s="16" t="s">
        <v>56</v>
      </c>
      <c r="ET49" s="16" t="s">
        <v>56</v>
      </c>
      <c r="EU49" s="16" t="s">
        <v>56</v>
      </c>
      <c r="EV49" s="16" t="s">
        <v>56</v>
      </c>
      <c r="EW49" s="16" t="s">
        <v>56</v>
      </c>
      <c r="EX49" s="16" t="s">
        <v>56</v>
      </c>
      <c r="EY49" s="16" t="s">
        <v>56</v>
      </c>
      <c r="EZ49" s="16" t="s">
        <v>56</v>
      </c>
      <c r="FA49" s="16" t="s">
        <v>56</v>
      </c>
      <c r="FB49" s="16" t="s">
        <v>56</v>
      </c>
      <c r="FC49" s="16" t="s">
        <v>56</v>
      </c>
      <c r="FD49" s="16" t="s">
        <v>56</v>
      </c>
      <c r="FE49" s="16" t="s">
        <v>56</v>
      </c>
      <c r="FF49" s="16" t="s">
        <v>56</v>
      </c>
      <c r="FG49" s="16" t="s">
        <v>56</v>
      </c>
      <c r="FH49" s="16" t="s">
        <v>56</v>
      </c>
      <c r="FI49" s="16" t="s">
        <v>56</v>
      </c>
      <c r="FJ49" s="16" t="s">
        <v>56</v>
      </c>
      <c r="FK49" s="16" t="s">
        <v>56</v>
      </c>
      <c r="FL49" s="16" t="s">
        <v>56</v>
      </c>
      <c r="FM49" s="16" t="s">
        <v>56</v>
      </c>
      <c r="FN49" s="16" t="s">
        <v>56</v>
      </c>
      <c r="FO49" s="16" t="s">
        <v>56</v>
      </c>
      <c r="FP49" s="16" t="s">
        <v>56</v>
      </c>
      <c r="FQ49" s="16" t="s">
        <v>56</v>
      </c>
      <c r="FR49" s="16" t="s">
        <v>56</v>
      </c>
      <c r="FS49" s="16" t="s">
        <v>56</v>
      </c>
      <c r="FT49" s="16" t="s">
        <v>56</v>
      </c>
      <c r="FU49" s="16" t="s">
        <v>56</v>
      </c>
      <c r="FV49" s="16" t="s">
        <v>56</v>
      </c>
      <c r="FW49" s="16" t="s">
        <v>56</v>
      </c>
      <c r="FX49" s="16" t="s">
        <v>56</v>
      </c>
      <c r="FY49" s="16" t="s">
        <v>56</v>
      </c>
      <c r="FZ49" s="16" t="s">
        <v>56</v>
      </c>
      <c r="GA49" s="16" t="s">
        <v>56</v>
      </c>
      <c r="GB49" s="16" t="s">
        <v>56</v>
      </c>
      <c r="GC49" s="16" t="s">
        <v>56</v>
      </c>
      <c r="GD49" s="16" t="s">
        <v>56</v>
      </c>
      <c r="GE49" s="16" t="s">
        <v>56</v>
      </c>
      <c r="GF49" s="16" t="s">
        <v>56</v>
      </c>
      <c r="GG49" s="16" t="s">
        <v>56</v>
      </c>
      <c r="GH49" s="16" t="s">
        <v>56</v>
      </c>
      <c r="GI49" s="16" t="s">
        <v>56</v>
      </c>
      <c r="GJ49" s="16" t="s">
        <v>56</v>
      </c>
      <c r="GK49" s="16" t="s">
        <v>56</v>
      </c>
      <c r="GL49" s="16" t="s">
        <v>56</v>
      </c>
      <c r="GM49" s="16" t="s">
        <v>56</v>
      </c>
      <c r="GN49" s="16" t="s">
        <v>56</v>
      </c>
      <c r="GO49" s="16" t="s">
        <v>56</v>
      </c>
      <c r="GP49" s="16" t="s">
        <v>56</v>
      </c>
      <c r="GQ49" s="16" t="s">
        <v>56</v>
      </c>
      <c r="GR49" s="16" t="s">
        <v>56</v>
      </c>
      <c r="GS49" s="16" t="s">
        <v>56</v>
      </c>
      <c r="GT49" s="16" t="s">
        <v>56</v>
      </c>
      <c r="GU49" s="16" t="s">
        <v>56</v>
      </c>
      <c r="GV49" s="16" t="s">
        <v>56</v>
      </c>
      <c r="GW49" s="16" t="s">
        <v>56</v>
      </c>
      <c r="GX49" s="16" t="s">
        <v>56</v>
      </c>
      <c r="GY49" s="16" t="s">
        <v>56</v>
      </c>
      <c r="GZ49" s="16" t="s">
        <v>56</v>
      </c>
      <c r="HA49" s="16" t="s">
        <v>56</v>
      </c>
      <c r="HB49" s="16" t="s">
        <v>56</v>
      </c>
      <c r="HC49" s="16" t="s">
        <v>56</v>
      </c>
      <c r="HD49" s="16" t="s">
        <v>56</v>
      </c>
      <c r="HE49" s="16" t="s">
        <v>56</v>
      </c>
      <c r="HF49" s="16" t="s">
        <v>56</v>
      </c>
      <c r="HG49" s="16" t="s">
        <v>56</v>
      </c>
      <c r="HH49" s="16" t="s">
        <v>56</v>
      </c>
      <c r="HI49" s="16" t="s">
        <v>56</v>
      </c>
      <c r="HJ49" s="16" t="s">
        <v>56</v>
      </c>
      <c r="HK49" s="16" t="s">
        <v>56</v>
      </c>
      <c r="HL49" s="16" t="s">
        <v>56</v>
      </c>
      <c r="HM49" s="16" t="s">
        <v>56</v>
      </c>
      <c r="HN49" s="16" t="s">
        <v>56</v>
      </c>
      <c r="HO49" s="16" t="s">
        <v>56</v>
      </c>
      <c r="HP49" s="16" t="s">
        <v>56</v>
      </c>
      <c r="HQ49" s="16" t="s">
        <v>56</v>
      </c>
      <c r="HR49" s="16" t="s">
        <v>56</v>
      </c>
      <c r="HS49" s="16" t="s">
        <v>56</v>
      </c>
      <c r="HT49" s="16" t="s">
        <v>56</v>
      </c>
      <c r="HU49" s="16" t="s">
        <v>56</v>
      </c>
      <c r="HV49" s="16" t="s">
        <v>56</v>
      </c>
      <c r="HW49" s="16" t="s">
        <v>56</v>
      </c>
      <c r="HX49" s="16" t="s">
        <v>56</v>
      </c>
      <c r="HY49" s="16" t="s">
        <v>56</v>
      </c>
      <c r="HZ49" s="16" t="s">
        <v>56</v>
      </c>
      <c r="IA49" s="16" t="s">
        <v>56</v>
      </c>
      <c r="IB49" s="16" t="s">
        <v>56</v>
      </c>
      <c r="IC49" s="16" t="s">
        <v>56</v>
      </c>
      <c r="ID49" s="16" t="s">
        <v>56</v>
      </c>
      <c r="IE49" s="16" t="s">
        <v>56</v>
      </c>
      <c r="IF49" s="16" t="s">
        <v>56</v>
      </c>
      <c r="IG49" s="16" t="s">
        <v>56</v>
      </c>
      <c r="IH49" s="16" t="s">
        <v>56</v>
      </c>
      <c r="II49" s="16" t="s">
        <v>56</v>
      </c>
      <c r="IJ49" s="16" t="s">
        <v>56</v>
      </c>
      <c r="IK49" s="16" t="s">
        <v>56</v>
      </c>
      <c r="IL49" s="16" t="s">
        <v>56</v>
      </c>
      <c r="IM49" s="16" t="s">
        <v>56</v>
      </c>
      <c r="IN49" s="16" t="s">
        <v>56</v>
      </c>
      <c r="IO49" s="16" t="s">
        <v>56</v>
      </c>
      <c r="IP49" s="16" t="s">
        <v>56</v>
      </c>
      <c r="IQ49" s="16" t="s">
        <v>56</v>
      </c>
      <c r="IR49" s="16" t="s">
        <v>56</v>
      </c>
      <c r="IS49" s="16" t="s">
        <v>56</v>
      </c>
      <c r="IT49" s="16" t="s">
        <v>56</v>
      </c>
      <c r="IU49" s="16" t="s">
        <v>56</v>
      </c>
      <c r="IV49" s="16" t="s">
        <v>56</v>
      </c>
    </row>
  </sheetData>
  <mergeCells count="6">
    <mergeCell ref="A3:IV3"/>
    <mergeCell ref="B4:O4"/>
    <mergeCell ref="B5:O5"/>
    <mergeCell ref="A7:A8"/>
    <mergeCell ref="B6:O6"/>
    <mergeCell ref="B7:O7"/>
  </mergeCells>
  <pageMargins left="0.7" right="0.7" top="0.75" bottom="0.75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449E-A712-4B04-93DE-D1E79B09FD8C}">
  <dimension ref="A1:S235"/>
  <sheetViews>
    <sheetView zoomScaleNormal="100" workbookViewId="0">
      <selection activeCell="E16" sqref="E16"/>
    </sheetView>
  </sheetViews>
  <sheetFormatPr defaultRowHeight="13.2" x14ac:dyDescent="0.25"/>
  <cols>
    <col min="1" max="1" width="12.109375" style="22" customWidth="1"/>
    <col min="2" max="2" width="47.5546875" customWidth="1"/>
    <col min="3" max="3" width="15.77734375" style="32" customWidth="1"/>
    <col min="5" max="5" width="46.88671875" bestFit="1" customWidth="1"/>
    <col min="6" max="6" width="17.77734375" customWidth="1"/>
    <col min="7" max="7" width="34.5546875" bestFit="1" customWidth="1"/>
    <col min="8" max="8" width="40.77734375" bestFit="1" customWidth="1"/>
    <col min="9" max="9" width="34.109375" bestFit="1" customWidth="1"/>
    <col min="10" max="10" width="21.6640625" bestFit="1" customWidth="1"/>
    <col min="11" max="11" width="34.109375" bestFit="1" customWidth="1"/>
    <col min="12" max="12" width="11.5546875" bestFit="1" customWidth="1"/>
    <col min="13" max="13" width="10" bestFit="1" customWidth="1"/>
    <col min="14" max="14" width="22.77734375" bestFit="1" customWidth="1"/>
    <col min="15" max="15" width="20" bestFit="1" customWidth="1"/>
    <col min="16" max="16" width="26.44140625" bestFit="1" customWidth="1"/>
    <col min="17" max="17" width="14.88671875" bestFit="1" customWidth="1"/>
    <col min="18" max="18" width="26.6640625" bestFit="1" customWidth="1"/>
    <col min="19" max="19" width="11.33203125" bestFit="1" customWidth="1"/>
    <col min="20" max="31" width="52.33203125" bestFit="1" customWidth="1"/>
    <col min="32" max="32" width="10.44140625" bestFit="1" customWidth="1"/>
    <col min="33" max="45" width="52.33203125" bestFit="1" customWidth="1"/>
    <col min="46" max="46" width="10.44140625" bestFit="1" customWidth="1"/>
    <col min="47" max="59" width="52.33203125" bestFit="1" customWidth="1"/>
    <col min="60" max="60" width="10.44140625" bestFit="1" customWidth="1"/>
    <col min="61" max="73" width="52.33203125" bestFit="1" customWidth="1"/>
    <col min="74" max="74" width="10.44140625" bestFit="1" customWidth="1"/>
    <col min="75" max="87" width="52.33203125" bestFit="1" customWidth="1"/>
    <col min="88" max="88" width="10.44140625" bestFit="1" customWidth="1"/>
    <col min="89" max="101" width="52.33203125" bestFit="1" customWidth="1"/>
    <col min="102" max="102" width="10.44140625" bestFit="1" customWidth="1"/>
    <col min="103" max="115" width="52.33203125" bestFit="1" customWidth="1"/>
    <col min="116" max="116" width="10.44140625" bestFit="1" customWidth="1"/>
    <col min="117" max="129" width="52.33203125" bestFit="1" customWidth="1"/>
    <col min="130" max="130" width="10.44140625" bestFit="1" customWidth="1"/>
    <col min="131" max="143" width="52.33203125" bestFit="1" customWidth="1"/>
    <col min="144" max="144" width="10.44140625" bestFit="1" customWidth="1"/>
    <col min="145" max="157" width="52.33203125" bestFit="1" customWidth="1"/>
    <col min="158" max="158" width="10.44140625" bestFit="1" customWidth="1"/>
    <col min="159" max="171" width="52.33203125" bestFit="1" customWidth="1"/>
    <col min="172" max="172" width="10.44140625" bestFit="1" customWidth="1"/>
    <col min="173" max="185" width="52.33203125" bestFit="1" customWidth="1"/>
    <col min="186" max="186" width="10.44140625" bestFit="1" customWidth="1"/>
    <col min="187" max="199" width="52.33203125" bestFit="1" customWidth="1"/>
    <col min="200" max="200" width="10.44140625" bestFit="1" customWidth="1"/>
    <col min="201" max="213" width="52.33203125" bestFit="1" customWidth="1"/>
    <col min="214" max="214" width="10.44140625" bestFit="1" customWidth="1"/>
    <col min="215" max="227" width="52.33203125" bestFit="1" customWidth="1"/>
    <col min="228" max="228" width="10.44140625" bestFit="1" customWidth="1"/>
    <col min="229" max="241" width="52.33203125" bestFit="1" customWidth="1"/>
    <col min="242" max="242" width="10.44140625" bestFit="1" customWidth="1"/>
    <col min="243" max="255" width="52.33203125" bestFit="1" customWidth="1"/>
    <col min="256" max="256" width="10.44140625" bestFit="1" customWidth="1"/>
    <col min="257" max="257" width="11.33203125" bestFit="1" customWidth="1"/>
  </cols>
  <sheetData>
    <row r="1" spans="1:19" ht="13.8" x14ac:dyDescent="0.25">
      <c r="A1" s="25" t="s">
        <v>57</v>
      </c>
      <c r="B1" s="26" t="s">
        <v>59</v>
      </c>
      <c r="C1" s="33" t="s">
        <v>58</v>
      </c>
      <c r="D1" s="19"/>
      <c r="G1" s="19"/>
    </row>
    <row r="2" spans="1:19" x14ac:dyDescent="0.25">
      <c r="A2" s="23">
        <v>2008</v>
      </c>
      <c r="B2" s="20" t="s">
        <v>6</v>
      </c>
      <c r="C2" s="34">
        <v>585.29999999999995</v>
      </c>
      <c r="D2" s="18"/>
    </row>
    <row r="3" spans="1:19" x14ac:dyDescent="0.25">
      <c r="A3" s="24">
        <v>2009</v>
      </c>
      <c r="B3" s="21" t="s">
        <v>6</v>
      </c>
      <c r="C3" s="35">
        <v>568.79999999999995</v>
      </c>
      <c r="D3" s="18"/>
    </row>
    <row r="4" spans="1:19" x14ac:dyDescent="0.25">
      <c r="A4" s="23">
        <v>2010</v>
      </c>
      <c r="B4" s="20" t="s">
        <v>6</v>
      </c>
      <c r="C4" s="34">
        <v>548.5</v>
      </c>
      <c r="D4" s="18"/>
      <c r="K4" s="18"/>
      <c r="L4" s="18"/>
      <c r="M4" s="18"/>
      <c r="N4" s="18"/>
      <c r="O4" s="18"/>
      <c r="P4" s="18"/>
      <c r="Q4" s="18"/>
      <c r="R4" s="18"/>
      <c r="S4" s="18"/>
    </row>
    <row r="5" spans="1:19" x14ac:dyDescent="0.25">
      <c r="A5" s="24">
        <v>2011</v>
      </c>
      <c r="B5" s="21" t="s">
        <v>6</v>
      </c>
      <c r="C5" s="35">
        <v>173.9</v>
      </c>
      <c r="D5" s="18"/>
      <c r="K5" s="18"/>
      <c r="L5" s="18"/>
      <c r="M5" s="18"/>
      <c r="N5" s="18"/>
      <c r="O5" s="18"/>
      <c r="P5" s="18"/>
      <c r="Q5" s="18"/>
      <c r="R5" s="18"/>
      <c r="S5" s="18"/>
    </row>
    <row r="6" spans="1:19" x14ac:dyDescent="0.25">
      <c r="A6" s="23">
        <v>2012</v>
      </c>
      <c r="B6" s="20" t="s">
        <v>6</v>
      </c>
      <c r="C6" s="34">
        <v>170.1</v>
      </c>
      <c r="D6" s="18"/>
      <c r="K6" s="18"/>
      <c r="L6" s="18"/>
      <c r="M6" s="18"/>
      <c r="N6" s="18"/>
      <c r="O6" s="18"/>
      <c r="P6" s="18"/>
      <c r="Q6" s="18"/>
      <c r="R6" s="18"/>
      <c r="S6" s="18"/>
    </row>
    <row r="7" spans="1:19" x14ac:dyDescent="0.25">
      <c r="A7" s="24">
        <v>2013</v>
      </c>
      <c r="B7" s="21" t="s">
        <v>6</v>
      </c>
      <c r="C7" s="35">
        <v>170.1</v>
      </c>
      <c r="D7" s="18"/>
      <c r="K7" s="18"/>
      <c r="L7" s="18"/>
      <c r="M7" s="18"/>
      <c r="N7" s="18"/>
      <c r="O7" s="18"/>
      <c r="P7" s="18"/>
      <c r="Q7" s="18"/>
      <c r="R7" s="18"/>
      <c r="S7" s="18"/>
    </row>
    <row r="8" spans="1:19" x14ac:dyDescent="0.25">
      <c r="A8" s="23">
        <v>2014</v>
      </c>
      <c r="B8" s="20" t="s">
        <v>6</v>
      </c>
      <c r="C8" s="34">
        <v>156</v>
      </c>
      <c r="D8" s="18"/>
      <c r="K8" s="18"/>
      <c r="L8" s="18"/>
      <c r="M8" s="18"/>
      <c r="N8" s="18"/>
      <c r="O8" s="18"/>
      <c r="P8" s="18"/>
      <c r="Q8" s="18"/>
      <c r="R8" s="18"/>
      <c r="S8" s="18"/>
    </row>
    <row r="9" spans="1:19" x14ac:dyDescent="0.25">
      <c r="A9" s="24">
        <v>2015</v>
      </c>
      <c r="B9" s="21" t="s">
        <v>6</v>
      </c>
      <c r="C9" s="35">
        <v>142.80000000000001</v>
      </c>
      <c r="D9" s="18"/>
      <c r="K9" s="18"/>
      <c r="L9" s="18"/>
      <c r="M9" s="18"/>
      <c r="N9" s="18"/>
      <c r="O9" s="18"/>
      <c r="P9" s="18"/>
      <c r="Q9" s="18"/>
      <c r="R9" s="18"/>
      <c r="S9" s="18"/>
    </row>
    <row r="10" spans="1:19" x14ac:dyDescent="0.25">
      <c r="A10" s="23">
        <v>2016</v>
      </c>
      <c r="B10" s="20" t="s">
        <v>6</v>
      </c>
      <c r="C10" s="34">
        <v>143.4</v>
      </c>
      <c r="D10" s="18"/>
      <c r="K10" s="18"/>
      <c r="L10" s="18"/>
      <c r="M10" s="18"/>
      <c r="N10" s="18"/>
      <c r="O10" s="18"/>
      <c r="P10" s="18"/>
      <c r="Q10" s="18"/>
      <c r="R10" s="18"/>
      <c r="S10" s="18"/>
    </row>
    <row r="11" spans="1:19" x14ac:dyDescent="0.25">
      <c r="A11" s="24">
        <v>2017</v>
      </c>
      <c r="B11" s="21" t="s">
        <v>6</v>
      </c>
      <c r="C11" s="35">
        <v>139.9</v>
      </c>
      <c r="D11" s="18"/>
      <c r="K11" s="18"/>
      <c r="L11" s="18"/>
      <c r="M11" s="18"/>
      <c r="N11" s="18"/>
      <c r="O11" s="18"/>
      <c r="P11" s="18"/>
      <c r="Q11" s="18"/>
      <c r="R11" s="18"/>
      <c r="S11" s="18"/>
    </row>
    <row r="12" spans="1:19" x14ac:dyDescent="0.25">
      <c r="A12" s="23">
        <v>2018</v>
      </c>
      <c r="B12" s="20" t="s">
        <v>6</v>
      </c>
      <c r="C12" s="34">
        <v>145.80000000000001</v>
      </c>
      <c r="D12" s="18"/>
      <c r="K12" s="18"/>
      <c r="L12" s="18"/>
      <c r="M12" s="18"/>
      <c r="N12" s="18"/>
      <c r="O12" s="18"/>
      <c r="P12" s="18"/>
      <c r="Q12" s="18"/>
      <c r="R12" s="18"/>
      <c r="S12" s="18"/>
    </row>
    <row r="13" spans="1:19" x14ac:dyDescent="0.25">
      <c r="A13" s="24">
        <v>2019</v>
      </c>
      <c r="B13" s="21" t="s">
        <v>6</v>
      </c>
      <c r="C13" s="35">
        <v>133.80000000000001</v>
      </c>
      <c r="D13" s="18"/>
      <c r="K13" s="18"/>
      <c r="L13" s="18"/>
      <c r="M13" s="18"/>
      <c r="N13" s="18"/>
      <c r="O13" s="18"/>
      <c r="P13" s="18"/>
      <c r="Q13" s="18"/>
      <c r="R13" s="18"/>
      <c r="S13" s="18"/>
    </row>
    <row r="14" spans="1:19" x14ac:dyDescent="0.25">
      <c r="A14" s="23">
        <v>2020</v>
      </c>
      <c r="B14" s="20" t="s">
        <v>6</v>
      </c>
      <c r="C14" s="34">
        <v>129.9</v>
      </c>
      <c r="D14" s="18"/>
      <c r="K14" s="18"/>
      <c r="L14" s="18"/>
      <c r="M14" s="18"/>
      <c r="N14" s="18"/>
      <c r="O14" s="18"/>
      <c r="P14" s="18"/>
      <c r="Q14" s="18"/>
      <c r="R14" s="18"/>
      <c r="S14" s="18"/>
    </row>
    <row r="15" spans="1:19" x14ac:dyDescent="0.25">
      <c r="A15" s="24">
        <v>2021</v>
      </c>
      <c r="B15" s="21" t="s">
        <v>6</v>
      </c>
      <c r="C15" s="35">
        <v>135.4</v>
      </c>
      <c r="K15" s="18" t="s">
        <v>56</v>
      </c>
    </row>
    <row r="16" spans="1:19" x14ac:dyDescent="0.25">
      <c r="A16" s="23">
        <v>2022</v>
      </c>
      <c r="B16" s="20" t="s">
        <v>6</v>
      </c>
      <c r="C16" s="34">
        <v>138.19999999999999</v>
      </c>
    </row>
    <row r="17" spans="1:3" x14ac:dyDescent="0.25">
      <c r="A17" s="24">
        <v>2023</v>
      </c>
      <c r="B17" s="21" t="s">
        <v>6</v>
      </c>
      <c r="C17" s="35">
        <v>151.30000000000001</v>
      </c>
    </row>
    <row r="18" spans="1:3" x14ac:dyDescent="0.25">
      <c r="A18" s="23">
        <v>2024</v>
      </c>
      <c r="B18" s="20" t="s">
        <v>6</v>
      </c>
      <c r="C18" s="34">
        <v>145.9</v>
      </c>
    </row>
    <row r="19" spans="1:3" x14ac:dyDescent="0.25">
      <c r="A19" s="24">
        <v>2025</v>
      </c>
      <c r="B19" s="21" t="s">
        <v>6</v>
      </c>
      <c r="C19" s="35">
        <v>129</v>
      </c>
    </row>
    <row r="20" spans="1:3" x14ac:dyDescent="0.25">
      <c r="A20" s="23">
        <v>2008</v>
      </c>
      <c r="B20" s="20" t="s">
        <v>7</v>
      </c>
      <c r="C20" s="34">
        <v>17.3</v>
      </c>
    </row>
    <row r="21" spans="1:3" x14ac:dyDescent="0.25">
      <c r="A21" s="24">
        <v>2009</v>
      </c>
      <c r="B21" s="21" t="s">
        <v>7</v>
      </c>
      <c r="C21" s="35">
        <v>17.399999999999999</v>
      </c>
    </row>
    <row r="22" spans="1:3" x14ac:dyDescent="0.25">
      <c r="A22" s="23">
        <v>2010</v>
      </c>
      <c r="B22" s="20" t="s">
        <v>7</v>
      </c>
      <c r="C22" s="34">
        <v>19.2</v>
      </c>
    </row>
    <row r="23" spans="1:3" x14ac:dyDescent="0.25">
      <c r="A23" s="24">
        <v>2011</v>
      </c>
      <c r="B23" s="21" t="s">
        <v>7</v>
      </c>
      <c r="C23" s="35">
        <v>18.3</v>
      </c>
    </row>
    <row r="24" spans="1:3" x14ac:dyDescent="0.25">
      <c r="A24" s="23">
        <v>2012</v>
      </c>
      <c r="B24" s="20" t="s">
        <v>7</v>
      </c>
      <c r="C24" s="34">
        <v>13.5</v>
      </c>
    </row>
    <row r="25" spans="1:3" x14ac:dyDescent="0.25">
      <c r="A25" s="24">
        <v>2013</v>
      </c>
      <c r="B25" s="21" t="s">
        <v>7</v>
      </c>
      <c r="C25" s="35">
        <v>13.1</v>
      </c>
    </row>
    <row r="26" spans="1:3" x14ac:dyDescent="0.25">
      <c r="A26" s="23">
        <v>2014</v>
      </c>
      <c r="B26" s="20" t="s">
        <v>7</v>
      </c>
      <c r="C26" s="34">
        <v>12.2</v>
      </c>
    </row>
    <row r="27" spans="1:3" x14ac:dyDescent="0.25">
      <c r="A27" s="24">
        <v>2015</v>
      </c>
      <c r="B27" s="21" t="s">
        <v>7</v>
      </c>
      <c r="C27" s="35">
        <v>12.3</v>
      </c>
    </row>
    <row r="28" spans="1:3" x14ac:dyDescent="0.25">
      <c r="A28" s="23">
        <v>2016</v>
      </c>
      <c r="B28" s="20" t="s">
        <v>7</v>
      </c>
      <c r="C28" s="34">
        <v>11.8</v>
      </c>
    </row>
    <row r="29" spans="1:3" x14ac:dyDescent="0.25">
      <c r="A29" s="24">
        <v>2017</v>
      </c>
      <c r="B29" s="21" t="s">
        <v>7</v>
      </c>
      <c r="C29" s="35">
        <v>12.1</v>
      </c>
    </row>
    <row r="30" spans="1:3" x14ac:dyDescent="0.25">
      <c r="A30" s="23">
        <v>2018</v>
      </c>
      <c r="B30" s="20" t="s">
        <v>7</v>
      </c>
      <c r="C30" s="34">
        <v>14.1</v>
      </c>
    </row>
    <row r="31" spans="1:3" x14ac:dyDescent="0.25">
      <c r="A31" s="24">
        <v>2019</v>
      </c>
      <c r="B31" s="21" t="s">
        <v>7</v>
      </c>
      <c r="C31" s="35">
        <v>12.8</v>
      </c>
    </row>
    <row r="32" spans="1:3" x14ac:dyDescent="0.25">
      <c r="A32" s="23">
        <v>2020</v>
      </c>
      <c r="B32" s="20" t="s">
        <v>7</v>
      </c>
      <c r="C32" s="34">
        <v>16.2</v>
      </c>
    </row>
    <row r="33" spans="1:3" x14ac:dyDescent="0.25">
      <c r="A33" s="24">
        <v>2021</v>
      </c>
      <c r="B33" s="21" t="s">
        <v>7</v>
      </c>
      <c r="C33" s="35">
        <v>9.4</v>
      </c>
    </row>
    <row r="34" spans="1:3" x14ac:dyDescent="0.25">
      <c r="A34" s="23">
        <v>2022</v>
      </c>
      <c r="B34" s="20" t="s">
        <v>7</v>
      </c>
      <c r="C34" s="34">
        <v>10.4</v>
      </c>
    </row>
    <row r="35" spans="1:3" x14ac:dyDescent="0.25">
      <c r="A35" s="24">
        <v>2023</v>
      </c>
      <c r="B35" s="21" t="s">
        <v>7</v>
      </c>
      <c r="C35" s="35">
        <v>15</v>
      </c>
    </row>
    <row r="36" spans="1:3" x14ac:dyDescent="0.25">
      <c r="A36" s="23">
        <v>2024</v>
      </c>
      <c r="B36" s="20" t="s">
        <v>7</v>
      </c>
      <c r="C36" s="34">
        <v>16.399999999999999</v>
      </c>
    </row>
    <row r="37" spans="1:3" x14ac:dyDescent="0.25">
      <c r="A37" s="24">
        <v>2025</v>
      </c>
      <c r="B37" s="21" t="s">
        <v>7</v>
      </c>
      <c r="C37" s="35">
        <v>15.5</v>
      </c>
    </row>
    <row r="38" spans="1:3" x14ac:dyDescent="0.25">
      <c r="A38" s="23">
        <v>2008</v>
      </c>
      <c r="B38" s="20" t="s">
        <v>8</v>
      </c>
      <c r="C38" s="34">
        <v>869.7</v>
      </c>
    </row>
    <row r="39" spans="1:3" x14ac:dyDescent="0.25">
      <c r="A39" s="24">
        <v>2009</v>
      </c>
      <c r="B39" s="21" t="s">
        <v>8</v>
      </c>
      <c r="C39" s="35">
        <v>825</v>
      </c>
    </row>
    <row r="40" spans="1:3" x14ac:dyDescent="0.25">
      <c r="A40" s="23">
        <v>2010</v>
      </c>
      <c r="B40" s="20" t="s">
        <v>8</v>
      </c>
      <c r="C40" s="34">
        <v>801.7</v>
      </c>
    </row>
    <row r="41" spans="1:3" x14ac:dyDescent="0.25">
      <c r="A41" s="24">
        <v>2011</v>
      </c>
      <c r="B41" s="21" t="s">
        <v>8</v>
      </c>
      <c r="C41" s="35">
        <v>780</v>
      </c>
    </row>
    <row r="42" spans="1:3" x14ac:dyDescent="0.25">
      <c r="A42" s="23">
        <v>2012</v>
      </c>
      <c r="B42" s="20" t="s">
        <v>8</v>
      </c>
      <c r="C42" s="34">
        <v>738.2</v>
      </c>
    </row>
    <row r="43" spans="1:3" x14ac:dyDescent="0.25">
      <c r="A43" s="24">
        <v>2013</v>
      </c>
      <c r="B43" s="21" t="s">
        <v>8</v>
      </c>
      <c r="C43" s="35">
        <v>704</v>
      </c>
    </row>
    <row r="44" spans="1:3" x14ac:dyDescent="0.25">
      <c r="A44" s="23">
        <v>2014</v>
      </c>
      <c r="B44" s="20" t="s">
        <v>8</v>
      </c>
      <c r="C44" s="34">
        <v>736.6</v>
      </c>
    </row>
    <row r="45" spans="1:3" x14ac:dyDescent="0.25">
      <c r="A45" s="24">
        <v>2015</v>
      </c>
      <c r="B45" s="21" t="s">
        <v>8</v>
      </c>
      <c r="C45" s="35">
        <v>766.5</v>
      </c>
    </row>
    <row r="46" spans="1:3" x14ac:dyDescent="0.25">
      <c r="A46" s="23">
        <v>2016</v>
      </c>
      <c r="B46" s="20" t="s">
        <v>8</v>
      </c>
      <c r="C46" s="34">
        <v>772</v>
      </c>
    </row>
    <row r="47" spans="1:3" x14ac:dyDescent="0.25">
      <c r="A47" s="24">
        <v>2017</v>
      </c>
      <c r="B47" s="21" t="s">
        <v>8</v>
      </c>
      <c r="C47" s="35">
        <v>801.1</v>
      </c>
    </row>
    <row r="48" spans="1:3" x14ac:dyDescent="0.25">
      <c r="A48" s="23">
        <v>2018</v>
      </c>
      <c r="B48" s="20" t="s">
        <v>8</v>
      </c>
      <c r="C48" s="34">
        <v>832</v>
      </c>
    </row>
    <row r="49" spans="1:3" x14ac:dyDescent="0.25">
      <c r="A49" s="24">
        <v>2019</v>
      </c>
      <c r="B49" s="21" t="s">
        <v>8</v>
      </c>
      <c r="C49" s="35">
        <v>831</v>
      </c>
    </row>
    <row r="50" spans="1:3" x14ac:dyDescent="0.25">
      <c r="A50" s="23">
        <v>2020</v>
      </c>
      <c r="B50" s="20" t="s">
        <v>8</v>
      </c>
      <c r="C50" s="34">
        <v>821.2</v>
      </c>
    </row>
    <row r="51" spans="1:3" x14ac:dyDescent="0.25">
      <c r="A51" s="24">
        <v>2021</v>
      </c>
      <c r="B51" s="21" t="s">
        <v>8</v>
      </c>
      <c r="C51" s="35">
        <v>822.2</v>
      </c>
    </row>
    <row r="52" spans="1:3" x14ac:dyDescent="0.25">
      <c r="A52" s="23">
        <v>2022</v>
      </c>
      <c r="B52" s="20" t="s">
        <v>8</v>
      </c>
      <c r="C52" s="34">
        <v>839.9</v>
      </c>
    </row>
    <row r="53" spans="1:3" x14ac:dyDescent="0.25">
      <c r="A53" s="24">
        <v>2023</v>
      </c>
      <c r="B53" s="21" t="s">
        <v>8</v>
      </c>
      <c r="C53" s="35">
        <v>833.5</v>
      </c>
    </row>
    <row r="54" spans="1:3" x14ac:dyDescent="0.25">
      <c r="A54" s="23">
        <v>2024</v>
      </c>
      <c r="B54" s="20" t="s">
        <v>8</v>
      </c>
      <c r="C54" s="34">
        <v>826.9</v>
      </c>
    </row>
    <row r="55" spans="1:3" x14ac:dyDescent="0.25">
      <c r="A55" s="24">
        <v>2025</v>
      </c>
      <c r="B55" s="21" t="s">
        <v>8</v>
      </c>
      <c r="C55" s="35">
        <v>838</v>
      </c>
    </row>
    <row r="56" spans="1:3" x14ac:dyDescent="0.25">
      <c r="A56" s="23">
        <v>2008</v>
      </c>
      <c r="B56" s="20" t="s">
        <v>9</v>
      </c>
      <c r="C56" s="34">
        <v>56.8</v>
      </c>
    </row>
    <row r="57" spans="1:3" x14ac:dyDescent="0.25">
      <c r="A57" s="24">
        <v>2009</v>
      </c>
      <c r="B57" s="21" t="s">
        <v>9</v>
      </c>
      <c r="C57" s="35">
        <v>49.3</v>
      </c>
    </row>
    <row r="58" spans="1:3" x14ac:dyDescent="0.25">
      <c r="A58" s="23">
        <v>2010</v>
      </c>
      <c r="B58" s="20" t="s">
        <v>9</v>
      </c>
      <c r="C58" s="34">
        <v>47.3</v>
      </c>
    </row>
    <row r="59" spans="1:3" x14ac:dyDescent="0.25">
      <c r="A59" s="24">
        <v>2011</v>
      </c>
      <c r="B59" s="21" t="s">
        <v>9</v>
      </c>
      <c r="C59" s="35">
        <v>48.6</v>
      </c>
    </row>
    <row r="60" spans="1:3" x14ac:dyDescent="0.25">
      <c r="A60" s="23">
        <v>2012</v>
      </c>
      <c r="B60" s="20" t="s">
        <v>9</v>
      </c>
      <c r="C60" s="34">
        <v>46.3</v>
      </c>
    </row>
    <row r="61" spans="1:3" x14ac:dyDescent="0.25">
      <c r="A61" s="24">
        <v>2013</v>
      </c>
      <c r="B61" s="21" t="s">
        <v>9</v>
      </c>
      <c r="C61" s="35">
        <v>42.8</v>
      </c>
    </row>
    <row r="62" spans="1:3" x14ac:dyDescent="0.25">
      <c r="A62" s="23">
        <v>2014</v>
      </c>
      <c r="B62" s="20" t="s">
        <v>9</v>
      </c>
      <c r="C62" s="34">
        <v>46.6</v>
      </c>
    </row>
    <row r="63" spans="1:3" x14ac:dyDescent="0.25">
      <c r="A63" s="24">
        <v>2015</v>
      </c>
      <c r="B63" s="21" t="s">
        <v>9</v>
      </c>
      <c r="C63" s="35">
        <v>48.1</v>
      </c>
    </row>
    <row r="64" spans="1:3" x14ac:dyDescent="0.25">
      <c r="A64" s="23">
        <v>2016</v>
      </c>
      <c r="B64" s="20" t="s">
        <v>9</v>
      </c>
      <c r="C64" s="34">
        <v>49.4</v>
      </c>
    </row>
    <row r="65" spans="1:3" x14ac:dyDescent="0.25">
      <c r="A65" s="24">
        <v>2017</v>
      </c>
      <c r="B65" s="21" t="s">
        <v>9</v>
      </c>
      <c r="C65" s="35">
        <v>52.8</v>
      </c>
    </row>
    <row r="66" spans="1:3" x14ac:dyDescent="0.25">
      <c r="A66" s="23">
        <v>2018</v>
      </c>
      <c r="B66" s="20" t="s">
        <v>9</v>
      </c>
      <c r="C66" s="34">
        <v>53.2</v>
      </c>
    </row>
    <row r="67" spans="1:3" x14ac:dyDescent="0.25">
      <c r="A67" s="24">
        <v>2019</v>
      </c>
      <c r="B67" s="21" t="s">
        <v>9</v>
      </c>
      <c r="C67" s="35">
        <v>57.4</v>
      </c>
    </row>
    <row r="68" spans="1:3" x14ac:dyDescent="0.25">
      <c r="A68" s="23">
        <v>2020</v>
      </c>
      <c r="B68" s="20" t="s">
        <v>9</v>
      </c>
      <c r="C68" s="34">
        <v>59.3</v>
      </c>
    </row>
    <row r="69" spans="1:3" x14ac:dyDescent="0.25">
      <c r="A69" s="24">
        <v>2021</v>
      </c>
      <c r="B69" s="21" t="s">
        <v>9</v>
      </c>
      <c r="C69" s="35">
        <v>54.1</v>
      </c>
    </row>
    <row r="70" spans="1:3" x14ac:dyDescent="0.25">
      <c r="A70" s="23">
        <v>2022</v>
      </c>
      <c r="B70" s="20" t="s">
        <v>9</v>
      </c>
      <c r="C70" s="34">
        <v>57.8</v>
      </c>
    </row>
    <row r="71" spans="1:3" x14ac:dyDescent="0.25">
      <c r="A71" s="24">
        <v>2023</v>
      </c>
      <c r="B71" s="21" t="s">
        <v>9</v>
      </c>
      <c r="C71" s="35">
        <v>58.5</v>
      </c>
    </row>
    <row r="72" spans="1:3" x14ac:dyDescent="0.25">
      <c r="A72" s="23">
        <v>2024</v>
      </c>
      <c r="B72" s="20" t="s">
        <v>9</v>
      </c>
      <c r="C72" s="34">
        <v>62.3</v>
      </c>
    </row>
    <row r="73" spans="1:3" x14ac:dyDescent="0.25">
      <c r="A73" s="24">
        <v>2025</v>
      </c>
      <c r="B73" s="21" t="s">
        <v>9</v>
      </c>
      <c r="C73" s="35">
        <v>60.4</v>
      </c>
    </row>
    <row r="74" spans="1:3" x14ac:dyDescent="0.25">
      <c r="A74" s="23">
        <v>2008</v>
      </c>
      <c r="B74" s="20" t="s">
        <v>10</v>
      </c>
      <c r="C74" s="34">
        <v>539.6</v>
      </c>
    </row>
    <row r="75" spans="1:3" x14ac:dyDescent="0.25">
      <c r="A75" s="24">
        <v>2009</v>
      </c>
      <c r="B75" s="21" t="s">
        <v>10</v>
      </c>
      <c r="C75" s="35">
        <v>489.7</v>
      </c>
    </row>
    <row r="76" spans="1:3" x14ac:dyDescent="0.25">
      <c r="A76" s="23">
        <v>2010</v>
      </c>
      <c r="B76" s="20" t="s">
        <v>10</v>
      </c>
      <c r="C76" s="34">
        <v>466.8</v>
      </c>
    </row>
    <row r="77" spans="1:3" x14ac:dyDescent="0.25">
      <c r="A77" s="24">
        <v>2011</v>
      </c>
      <c r="B77" s="21" t="s">
        <v>10</v>
      </c>
      <c r="C77" s="35">
        <v>424</v>
      </c>
    </row>
    <row r="78" spans="1:3" x14ac:dyDescent="0.25">
      <c r="A78" s="23">
        <v>2012</v>
      </c>
      <c r="B78" s="20" t="s">
        <v>10</v>
      </c>
      <c r="C78" s="34">
        <v>342.2</v>
      </c>
    </row>
    <row r="79" spans="1:3" x14ac:dyDescent="0.25">
      <c r="A79" s="24">
        <v>2013</v>
      </c>
      <c r="B79" s="21" t="s">
        <v>10</v>
      </c>
      <c r="C79" s="35">
        <v>286.5</v>
      </c>
    </row>
    <row r="80" spans="1:3" x14ac:dyDescent="0.25">
      <c r="A80" s="23">
        <v>2014</v>
      </c>
      <c r="B80" s="20" t="s">
        <v>10</v>
      </c>
      <c r="C80" s="34">
        <v>274.7</v>
      </c>
    </row>
    <row r="81" spans="1:3" x14ac:dyDescent="0.25">
      <c r="A81" s="24">
        <v>2015</v>
      </c>
      <c r="B81" s="21" t="s">
        <v>10</v>
      </c>
      <c r="C81" s="35">
        <v>277.60000000000002</v>
      </c>
    </row>
    <row r="82" spans="1:3" x14ac:dyDescent="0.25">
      <c r="A82" s="23">
        <v>2016</v>
      </c>
      <c r="B82" s="20" t="s">
        <v>10</v>
      </c>
      <c r="C82" s="34">
        <v>290.10000000000002</v>
      </c>
    </row>
    <row r="83" spans="1:3" x14ac:dyDescent="0.25">
      <c r="A83" s="24">
        <v>2017</v>
      </c>
      <c r="B83" s="21" t="s">
        <v>10</v>
      </c>
      <c r="C83" s="35">
        <v>307.8</v>
      </c>
    </row>
    <row r="84" spans="1:3" x14ac:dyDescent="0.25">
      <c r="A84" s="23">
        <v>2018</v>
      </c>
      <c r="B84" s="20" t="s">
        <v>10</v>
      </c>
      <c r="C84" s="34">
        <v>305</v>
      </c>
    </row>
    <row r="85" spans="1:3" x14ac:dyDescent="0.25">
      <c r="A85" s="24">
        <v>2019</v>
      </c>
      <c r="B85" s="21" t="s">
        <v>10</v>
      </c>
      <c r="C85" s="35">
        <v>305.2</v>
      </c>
    </row>
    <row r="86" spans="1:3" x14ac:dyDescent="0.25">
      <c r="A86" s="23">
        <v>2020</v>
      </c>
      <c r="B86" s="20" t="s">
        <v>10</v>
      </c>
      <c r="C86" s="34">
        <v>296.60000000000002</v>
      </c>
    </row>
    <row r="87" spans="1:3" x14ac:dyDescent="0.25">
      <c r="A87" s="24">
        <v>2021</v>
      </c>
      <c r="B87" s="21" t="s">
        <v>10</v>
      </c>
      <c r="C87" s="35">
        <v>314.89999999999998</v>
      </c>
    </row>
    <row r="88" spans="1:3" x14ac:dyDescent="0.25">
      <c r="A88" s="23">
        <v>2022</v>
      </c>
      <c r="B88" s="20" t="s">
        <v>10</v>
      </c>
      <c r="C88" s="34">
        <v>330.4</v>
      </c>
    </row>
    <row r="89" spans="1:3" x14ac:dyDescent="0.25">
      <c r="A89" s="24">
        <v>2023</v>
      </c>
      <c r="B89" s="21" t="s">
        <v>10</v>
      </c>
      <c r="C89" s="35">
        <v>354.8</v>
      </c>
    </row>
    <row r="90" spans="1:3" x14ac:dyDescent="0.25">
      <c r="A90" s="23">
        <v>2024</v>
      </c>
      <c r="B90" s="20" t="s">
        <v>10</v>
      </c>
      <c r="C90" s="34">
        <v>359.5</v>
      </c>
    </row>
    <row r="91" spans="1:3" x14ac:dyDescent="0.25">
      <c r="A91" s="24">
        <v>2025</v>
      </c>
      <c r="B91" s="21" t="s">
        <v>10</v>
      </c>
      <c r="C91" s="35">
        <v>372.6</v>
      </c>
    </row>
    <row r="92" spans="1:3" x14ac:dyDescent="0.25">
      <c r="A92" s="23">
        <v>2008</v>
      </c>
      <c r="B92" s="20" t="s">
        <v>11</v>
      </c>
      <c r="C92" s="34">
        <v>750</v>
      </c>
    </row>
    <row r="93" spans="1:3" x14ac:dyDescent="0.25">
      <c r="A93" s="24">
        <v>2009</v>
      </c>
      <c r="B93" s="21" t="s">
        <v>11</v>
      </c>
      <c r="C93" s="35">
        <v>744.7</v>
      </c>
    </row>
    <row r="94" spans="1:3" x14ac:dyDescent="0.25">
      <c r="A94" s="23">
        <v>2010</v>
      </c>
      <c r="B94" s="20" t="s">
        <v>11</v>
      </c>
      <c r="C94" s="34">
        <v>719</v>
      </c>
    </row>
    <row r="95" spans="1:3" x14ac:dyDescent="0.25">
      <c r="A95" s="24">
        <v>2011</v>
      </c>
      <c r="B95" s="21" t="s">
        <v>11</v>
      </c>
      <c r="C95" s="35">
        <v>693.2</v>
      </c>
    </row>
    <row r="96" spans="1:3" x14ac:dyDescent="0.25">
      <c r="A96" s="23">
        <v>2012</v>
      </c>
      <c r="B96" s="20" t="s">
        <v>11</v>
      </c>
      <c r="C96" s="34">
        <v>659.8</v>
      </c>
    </row>
    <row r="97" spans="1:3" x14ac:dyDescent="0.25">
      <c r="A97" s="24">
        <v>2013</v>
      </c>
      <c r="B97" s="21" t="s">
        <v>11</v>
      </c>
      <c r="C97" s="35">
        <v>641.5</v>
      </c>
    </row>
    <row r="98" spans="1:3" x14ac:dyDescent="0.25">
      <c r="A98" s="23">
        <v>2014</v>
      </c>
      <c r="B98" s="20" t="s">
        <v>11</v>
      </c>
      <c r="C98" s="34">
        <v>668.2</v>
      </c>
    </row>
    <row r="99" spans="1:3" x14ac:dyDescent="0.25">
      <c r="A99" s="24">
        <v>2015</v>
      </c>
      <c r="B99" s="21" t="s">
        <v>11</v>
      </c>
      <c r="C99" s="35">
        <v>701.2</v>
      </c>
    </row>
    <row r="100" spans="1:3" x14ac:dyDescent="0.25">
      <c r="A100" s="23">
        <v>2016</v>
      </c>
      <c r="B100" s="20" t="s">
        <v>11</v>
      </c>
      <c r="C100" s="34">
        <v>702.7</v>
      </c>
    </row>
    <row r="101" spans="1:3" x14ac:dyDescent="0.25">
      <c r="A101" s="24">
        <v>2017</v>
      </c>
      <c r="B101" s="21" t="s">
        <v>11</v>
      </c>
      <c r="C101" s="35">
        <v>708</v>
      </c>
    </row>
    <row r="102" spans="1:3" x14ac:dyDescent="0.25">
      <c r="A102" s="23">
        <v>2018</v>
      </c>
      <c r="B102" s="20" t="s">
        <v>11</v>
      </c>
      <c r="C102" s="34">
        <v>703.8</v>
      </c>
    </row>
    <row r="103" spans="1:3" x14ac:dyDescent="0.25">
      <c r="A103" s="24">
        <v>2019</v>
      </c>
      <c r="B103" s="21" t="s">
        <v>11</v>
      </c>
      <c r="C103" s="35">
        <v>707.8</v>
      </c>
    </row>
    <row r="104" spans="1:3" x14ac:dyDescent="0.25">
      <c r="A104" s="23">
        <v>2020</v>
      </c>
      <c r="B104" s="20" t="s">
        <v>11</v>
      </c>
      <c r="C104" s="34">
        <v>672.3</v>
      </c>
    </row>
    <row r="105" spans="1:3" x14ac:dyDescent="0.25">
      <c r="A105" s="24">
        <v>2021</v>
      </c>
      <c r="B105" s="21" t="s">
        <v>11</v>
      </c>
      <c r="C105" s="35">
        <v>718.5</v>
      </c>
    </row>
    <row r="106" spans="1:3" x14ac:dyDescent="0.25">
      <c r="A106" s="23">
        <v>2022</v>
      </c>
      <c r="B106" s="20" t="s">
        <v>11</v>
      </c>
      <c r="C106" s="34">
        <v>729.2</v>
      </c>
    </row>
    <row r="107" spans="1:3" x14ac:dyDescent="0.25">
      <c r="A107" s="24">
        <v>2023</v>
      </c>
      <c r="B107" s="21" t="s">
        <v>11</v>
      </c>
      <c r="C107" s="35">
        <v>729</v>
      </c>
    </row>
    <row r="108" spans="1:3" x14ac:dyDescent="0.25">
      <c r="A108" s="23">
        <v>2024</v>
      </c>
      <c r="B108" s="20" t="s">
        <v>11</v>
      </c>
      <c r="C108" s="34">
        <v>754.4</v>
      </c>
    </row>
    <row r="109" spans="1:3" x14ac:dyDescent="0.25">
      <c r="A109" s="24">
        <v>2025</v>
      </c>
      <c r="B109" s="21" t="s">
        <v>11</v>
      </c>
      <c r="C109" s="35">
        <v>769.4</v>
      </c>
    </row>
    <row r="110" spans="1:3" x14ac:dyDescent="0.25">
      <c r="A110" s="23">
        <v>2008</v>
      </c>
      <c r="B110" s="20" t="s">
        <v>12</v>
      </c>
      <c r="C110" s="34">
        <v>175</v>
      </c>
    </row>
    <row r="111" spans="1:3" x14ac:dyDescent="0.25">
      <c r="A111" s="24">
        <v>2009</v>
      </c>
      <c r="B111" s="21" t="s">
        <v>12</v>
      </c>
      <c r="C111" s="35">
        <v>175.5</v>
      </c>
    </row>
    <row r="112" spans="1:3" x14ac:dyDescent="0.25">
      <c r="A112" s="23">
        <v>2010</v>
      </c>
      <c r="B112" s="20" t="s">
        <v>12</v>
      </c>
      <c r="C112" s="34">
        <v>174</v>
      </c>
    </row>
    <row r="113" spans="1:3" x14ac:dyDescent="0.25">
      <c r="A113" s="24">
        <v>2011</v>
      </c>
      <c r="B113" s="21" t="s">
        <v>12</v>
      </c>
      <c r="C113" s="35">
        <v>167.8</v>
      </c>
    </row>
    <row r="114" spans="1:3" x14ac:dyDescent="0.25">
      <c r="A114" s="23">
        <v>2012</v>
      </c>
      <c r="B114" s="20" t="s">
        <v>12</v>
      </c>
      <c r="C114" s="34">
        <v>166</v>
      </c>
    </row>
    <row r="115" spans="1:3" x14ac:dyDescent="0.25">
      <c r="A115" s="24">
        <v>2013</v>
      </c>
      <c r="B115" s="21" t="s">
        <v>12</v>
      </c>
      <c r="C115" s="35">
        <v>178.1</v>
      </c>
    </row>
    <row r="116" spans="1:3" x14ac:dyDescent="0.25">
      <c r="A116" s="23">
        <v>2014</v>
      </c>
      <c r="B116" s="20" t="s">
        <v>12</v>
      </c>
      <c r="C116" s="34">
        <v>174.9</v>
      </c>
    </row>
    <row r="117" spans="1:3" x14ac:dyDescent="0.25">
      <c r="A117" s="24">
        <v>2015</v>
      </c>
      <c r="B117" s="21" t="s">
        <v>12</v>
      </c>
      <c r="C117" s="35">
        <v>173</v>
      </c>
    </row>
    <row r="118" spans="1:3" x14ac:dyDescent="0.25">
      <c r="A118" s="23">
        <v>2016</v>
      </c>
      <c r="B118" s="20" t="s">
        <v>12</v>
      </c>
      <c r="C118" s="34">
        <v>191</v>
      </c>
    </row>
    <row r="119" spans="1:3" x14ac:dyDescent="0.25">
      <c r="A119" s="24">
        <v>2017</v>
      </c>
      <c r="B119" s="21" t="s">
        <v>12</v>
      </c>
      <c r="C119" s="35">
        <v>206.3</v>
      </c>
    </row>
    <row r="120" spans="1:3" x14ac:dyDescent="0.25">
      <c r="A120" s="23">
        <v>2018</v>
      </c>
      <c r="B120" s="20" t="s">
        <v>12</v>
      </c>
      <c r="C120" s="34">
        <v>209.9</v>
      </c>
    </row>
    <row r="121" spans="1:3" x14ac:dyDescent="0.25">
      <c r="A121" s="24">
        <v>2019</v>
      </c>
      <c r="B121" s="21" t="s">
        <v>12</v>
      </c>
      <c r="C121" s="35">
        <v>220.3</v>
      </c>
    </row>
    <row r="122" spans="1:3" x14ac:dyDescent="0.25">
      <c r="A122" s="23">
        <v>2020</v>
      </c>
      <c r="B122" s="20" t="s">
        <v>12</v>
      </c>
      <c r="C122" s="34">
        <v>212.8</v>
      </c>
    </row>
    <row r="123" spans="1:3" x14ac:dyDescent="0.25">
      <c r="A123" s="24">
        <v>2021</v>
      </c>
      <c r="B123" s="21" t="s">
        <v>12</v>
      </c>
      <c r="C123" s="35">
        <v>215.2</v>
      </c>
    </row>
    <row r="124" spans="1:3" x14ac:dyDescent="0.25">
      <c r="A124" s="23">
        <v>2022</v>
      </c>
      <c r="B124" s="20" t="s">
        <v>12</v>
      </c>
      <c r="C124" s="34">
        <v>232.1</v>
      </c>
    </row>
    <row r="125" spans="1:3" x14ac:dyDescent="0.25">
      <c r="A125" s="24">
        <v>2023</v>
      </c>
      <c r="B125" s="21" t="s">
        <v>12</v>
      </c>
      <c r="C125" s="35">
        <v>232</v>
      </c>
    </row>
    <row r="126" spans="1:3" x14ac:dyDescent="0.25">
      <c r="A126" s="23">
        <v>2024</v>
      </c>
      <c r="B126" s="20" t="s">
        <v>12</v>
      </c>
      <c r="C126" s="34">
        <v>234.7</v>
      </c>
    </row>
    <row r="127" spans="1:3" x14ac:dyDescent="0.25">
      <c r="A127" s="24">
        <v>2025</v>
      </c>
      <c r="B127" s="21" t="s">
        <v>12</v>
      </c>
      <c r="C127" s="35">
        <v>247.7</v>
      </c>
    </row>
    <row r="128" spans="1:3" x14ac:dyDescent="0.25">
      <c r="A128" s="23">
        <v>2008</v>
      </c>
      <c r="B128" s="20" t="s">
        <v>13</v>
      </c>
      <c r="C128" s="34">
        <v>317.5</v>
      </c>
    </row>
    <row r="129" spans="1:3" x14ac:dyDescent="0.25">
      <c r="A129" s="24">
        <v>2009</v>
      </c>
      <c r="B129" s="21" t="s">
        <v>13</v>
      </c>
      <c r="C129" s="35">
        <v>291.7</v>
      </c>
    </row>
    <row r="130" spans="1:3" x14ac:dyDescent="0.25">
      <c r="A130" s="23">
        <v>2010</v>
      </c>
      <c r="B130" s="20" t="s">
        <v>13</v>
      </c>
      <c r="C130" s="34">
        <v>287</v>
      </c>
    </row>
    <row r="131" spans="1:3" x14ac:dyDescent="0.25">
      <c r="A131" s="24">
        <v>2011</v>
      </c>
      <c r="B131" s="21" t="s">
        <v>13</v>
      </c>
      <c r="C131" s="35">
        <v>286.3</v>
      </c>
    </row>
    <row r="132" spans="1:3" x14ac:dyDescent="0.25">
      <c r="A132" s="23">
        <v>2012</v>
      </c>
      <c r="B132" s="20" t="s">
        <v>13</v>
      </c>
      <c r="C132" s="34">
        <v>275.60000000000002</v>
      </c>
    </row>
    <row r="133" spans="1:3" x14ac:dyDescent="0.25">
      <c r="A133" s="24">
        <v>2013</v>
      </c>
      <c r="B133" s="21" t="s">
        <v>13</v>
      </c>
      <c r="C133" s="35">
        <v>290.89999999999998</v>
      </c>
    </row>
    <row r="134" spans="1:3" x14ac:dyDescent="0.25">
      <c r="A134" s="23">
        <v>2014</v>
      </c>
      <c r="B134" s="20" t="s">
        <v>13</v>
      </c>
      <c r="C134" s="34">
        <v>280.10000000000002</v>
      </c>
    </row>
    <row r="135" spans="1:3" x14ac:dyDescent="0.25">
      <c r="A135" s="24">
        <v>2015</v>
      </c>
      <c r="B135" s="21" t="s">
        <v>13</v>
      </c>
      <c r="C135" s="35">
        <v>260.2</v>
      </c>
    </row>
    <row r="136" spans="1:3" x14ac:dyDescent="0.25">
      <c r="A136" s="23">
        <v>2016</v>
      </c>
      <c r="B136" s="20" t="s">
        <v>13</v>
      </c>
      <c r="C136" s="34">
        <v>281</v>
      </c>
    </row>
    <row r="137" spans="1:3" x14ac:dyDescent="0.25">
      <c r="A137" s="24">
        <v>2017</v>
      </c>
      <c r="B137" s="21" t="s">
        <v>13</v>
      </c>
      <c r="C137" s="35">
        <v>324.60000000000002</v>
      </c>
    </row>
    <row r="138" spans="1:3" x14ac:dyDescent="0.25">
      <c r="A138" s="23">
        <v>2018</v>
      </c>
      <c r="B138" s="20" t="s">
        <v>13</v>
      </c>
      <c r="C138" s="34">
        <v>330.7</v>
      </c>
    </row>
    <row r="139" spans="1:3" x14ac:dyDescent="0.25">
      <c r="A139" s="24">
        <v>2019</v>
      </c>
      <c r="B139" s="21" t="s">
        <v>13</v>
      </c>
      <c r="C139" s="35">
        <v>323.60000000000002</v>
      </c>
    </row>
    <row r="140" spans="1:3" x14ac:dyDescent="0.25">
      <c r="A140" s="23">
        <v>2020</v>
      </c>
      <c r="B140" s="20" t="s">
        <v>13</v>
      </c>
      <c r="C140" s="34">
        <v>296.89999999999998</v>
      </c>
    </row>
    <row r="141" spans="1:3" x14ac:dyDescent="0.25">
      <c r="A141" s="24">
        <v>2021</v>
      </c>
      <c r="B141" s="21" t="s">
        <v>13</v>
      </c>
      <c r="C141" s="35">
        <v>253.3</v>
      </c>
    </row>
    <row r="142" spans="1:3" x14ac:dyDescent="0.25">
      <c r="A142" s="23">
        <v>2022</v>
      </c>
      <c r="B142" s="20" t="s">
        <v>13</v>
      </c>
      <c r="C142" s="34">
        <v>300.2</v>
      </c>
    </row>
    <row r="143" spans="1:3" x14ac:dyDescent="0.25">
      <c r="A143" s="24">
        <v>2023</v>
      </c>
      <c r="B143" s="21" t="s">
        <v>13</v>
      </c>
      <c r="C143" s="35">
        <v>335.2</v>
      </c>
    </row>
    <row r="144" spans="1:3" x14ac:dyDescent="0.25">
      <c r="A144" s="23">
        <v>2024</v>
      </c>
      <c r="B144" s="20" t="s">
        <v>13</v>
      </c>
      <c r="C144" s="34">
        <v>318</v>
      </c>
    </row>
    <row r="145" spans="1:3" x14ac:dyDescent="0.25">
      <c r="A145" s="24">
        <v>2025</v>
      </c>
      <c r="B145" s="21" t="s">
        <v>13</v>
      </c>
      <c r="C145" s="35">
        <v>340.8</v>
      </c>
    </row>
    <row r="146" spans="1:3" x14ac:dyDescent="0.25">
      <c r="A146" s="23">
        <v>2008</v>
      </c>
      <c r="B146" s="20" t="s">
        <v>14</v>
      </c>
      <c r="C146" s="34">
        <v>95</v>
      </c>
    </row>
    <row r="147" spans="1:3" x14ac:dyDescent="0.25">
      <c r="A147" s="24">
        <v>2009</v>
      </c>
      <c r="B147" s="21" t="s">
        <v>14</v>
      </c>
      <c r="C147" s="35">
        <v>86.9</v>
      </c>
    </row>
    <row r="148" spans="1:3" x14ac:dyDescent="0.25">
      <c r="A148" s="23">
        <v>2010</v>
      </c>
      <c r="B148" s="20" t="s">
        <v>14</v>
      </c>
      <c r="C148" s="34">
        <v>86.6</v>
      </c>
    </row>
    <row r="149" spans="1:3" x14ac:dyDescent="0.25">
      <c r="A149" s="24">
        <v>2011</v>
      </c>
      <c r="B149" s="21" t="s">
        <v>14</v>
      </c>
      <c r="C149" s="35">
        <v>103.8</v>
      </c>
    </row>
    <row r="150" spans="1:3" x14ac:dyDescent="0.25">
      <c r="A150" s="23">
        <v>2012</v>
      </c>
      <c r="B150" s="20" t="s">
        <v>14</v>
      </c>
      <c r="C150" s="34">
        <v>96.9</v>
      </c>
    </row>
    <row r="151" spans="1:3" x14ac:dyDescent="0.25">
      <c r="A151" s="24">
        <v>2013</v>
      </c>
      <c r="B151" s="21" t="s">
        <v>14</v>
      </c>
      <c r="C151" s="35">
        <v>87.3</v>
      </c>
    </row>
    <row r="152" spans="1:3" x14ac:dyDescent="0.25">
      <c r="A152" s="23">
        <v>2014</v>
      </c>
      <c r="B152" s="20" t="s">
        <v>14</v>
      </c>
      <c r="C152" s="34">
        <v>101.3</v>
      </c>
    </row>
    <row r="153" spans="1:3" x14ac:dyDescent="0.25">
      <c r="A153" s="24">
        <v>2015</v>
      </c>
      <c r="B153" s="21" t="s">
        <v>14</v>
      </c>
      <c r="C153" s="35">
        <v>109.1</v>
      </c>
    </row>
    <row r="154" spans="1:3" x14ac:dyDescent="0.25">
      <c r="A154" s="23">
        <v>2016</v>
      </c>
      <c r="B154" s="20" t="s">
        <v>14</v>
      </c>
      <c r="C154" s="34">
        <v>113.6</v>
      </c>
    </row>
    <row r="155" spans="1:3" x14ac:dyDescent="0.25">
      <c r="A155" s="24">
        <v>2017</v>
      </c>
      <c r="B155" s="21" t="s">
        <v>14</v>
      </c>
      <c r="C155" s="35">
        <v>108.4</v>
      </c>
    </row>
    <row r="156" spans="1:3" x14ac:dyDescent="0.25">
      <c r="A156" s="23">
        <v>2018</v>
      </c>
      <c r="B156" s="20" t="s">
        <v>14</v>
      </c>
      <c r="C156" s="34">
        <v>114.4</v>
      </c>
    </row>
    <row r="157" spans="1:3" x14ac:dyDescent="0.25">
      <c r="A157" s="24">
        <v>2019</v>
      </c>
      <c r="B157" s="21" t="s">
        <v>14</v>
      </c>
      <c r="C157" s="35">
        <v>101.5</v>
      </c>
    </row>
    <row r="158" spans="1:3" x14ac:dyDescent="0.25">
      <c r="A158" s="23">
        <v>2020</v>
      </c>
      <c r="B158" s="20" t="s">
        <v>14</v>
      </c>
      <c r="C158" s="34">
        <v>96</v>
      </c>
    </row>
    <row r="159" spans="1:3" x14ac:dyDescent="0.25">
      <c r="A159" s="24">
        <v>2021</v>
      </c>
      <c r="B159" s="21" t="s">
        <v>14</v>
      </c>
      <c r="C159" s="35">
        <v>120.1</v>
      </c>
    </row>
    <row r="160" spans="1:3" x14ac:dyDescent="0.25">
      <c r="A160" s="23">
        <v>2022</v>
      </c>
      <c r="B160" s="20" t="s">
        <v>14</v>
      </c>
      <c r="C160" s="34">
        <v>103.3</v>
      </c>
    </row>
    <row r="161" spans="1:3" x14ac:dyDescent="0.25">
      <c r="A161" s="24">
        <v>2023</v>
      </c>
      <c r="B161" s="21" t="s">
        <v>14</v>
      </c>
      <c r="C161" s="35">
        <v>108.9</v>
      </c>
    </row>
    <row r="162" spans="1:3" x14ac:dyDescent="0.25">
      <c r="A162" s="23">
        <v>2024</v>
      </c>
      <c r="B162" s="20" t="s">
        <v>14</v>
      </c>
      <c r="C162" s="34">
        <v>109.8</v>
      </c>
    </row>
    <row r="163" spans="1:3" x14ac:dyDescent="0.25">
      <c r="A163" s="24">
        <v>2025</v>
      </c>
      <c r="B163" s="21" t="s">
        <v>14</v>
      </c>
      <c r="C163" s="35">
        <v>110.4</v>
      </c>
    </row>
    <row r="164" spans="1:3" x14ac:dyDescent="0.25">
      <c r="A164" s="23">
        <v>2008</v>
      </c>
      <c r="B164" s="20" t="s">
        <v>15</v>
      </c>
      <c r="C164" s="34">
        <v>26.7</v>
      </c>
    </row>
    <row r="165" spans="1:3" x14ac:dyDescent="0.25">
      <c r="A165" s="24">
        <v>2009</v>
      </c>
      <c r="B165" s="21" t="s">
        <v>15</v>
      </c>
      <c r="C165" s="35">
        <v>33.299999999999997</v>
      </c>
    </row>
    <row r="166" spans="1:3" x14ac:dyDescent="0.25">
      <c r="A166" s="23">
        <v>2010</v>
      </c>
      <c r="B166" s="20" t="s">
        <v>15</v>
      </c>
      <c r="C166" s="34">
        <v>27.6</v>
      </c>
    </row>
    <row r="167" spans="1:3" x14ac:dyDescent="0.25">
      <c r="A167" s="24">
        <v>2011</v>
      </c>
      <c r="B167" s="21" t="s">
        <v>15</v>
      </c>
      <c r="C167" s="35">
        <v>24.8</v>
      </c>
    </row>
    <row r="168" spans="1:3" x14ac:dyDescent="0.25">
      <c r="A168" s="23">
        <v>2012</v>
      </c>
      <c r="B168" s="20" t="s">
        <v>15</v>
      </c>
      <c r="C168" s="34">
        <v>23.4</v>
      </c>
    </row>
    <row r="169" spans="1:3" x14ac:dyDescent="0.25">
      <c r="A169" s="24">
        <v>2013</v>
      </c>
      <c r="B169" s="21" t="s">
        <v>15</v>
      </c>
      <c r="C169" s="35">
        <v>27.5</v>
      </c>
    </row>
    <row r="170" spans="1:3" x14ac:dyDescent="0.25">
      <c r="A170" s="23">
        <v>2014</v>
      </c>
      <c r="B170" s="20" t="s">
        <v>15</v>
      </c>
      <c r="C170" s="34">
        <v>29.9</v>
      </c>
    </row>
    <row r="171" spans="1:3" x14ac:dyDescent="0.25">
      <c r="A171" s="24">
        <v>2015</v>
      </c>
      <c r="B171" s="21" t="s">
        <v>15</v>
      </c>
      <c r="C171" s="35">
        <v>28</v>
      </c>
    </row>
    <row r="172" spans="1:3" x14ac:dyDescent="0.25">
      <c r="A172" s="23">
        <v>2016</v>
      </c>
      <c r="B172" s="20" t="s">
        <v>15</v>
      </c>
      <c r="C172" s="34">
        <v>33.200000000000003</v>
      </c>
    </row>
    <row r="173" spans="1:3" x14ac:dyDescent="0.25">
      <c r="A173" s="24">
        <v>2017</v>
      </c>
      <c r="B173" s="21" t="s">
        <v>15</v>
      </c>
      <c r="C173" s="35">
        <v>43.4</v>
      </c>
    </row>
    <row r="174" spans="1:3" x14ac:dyDescent="0.25">
      <c r="A174" s="23">
        <v>2018</v>
      </c>
      <c r="B174" s="20" t="s">
        <v>15</v>
      </c>
      <c r="C174" s="34">
        <v>48.5</v>
      </c>
    </row>
    <row r="175" spans="1:3" x14ac:dyDescent="0.25">
      <c r="A175" s="24">
        <v>2019</v>
      </c>
      <c r="B175" s="21" t="s">
        <v>15</v>
      </c>
      <c r="C175" s="35">
        <v>52.3</v>
      </c>
    </row>
    <row r="176" spans="1:3" x14ac:dyDescent="0.25">
      <c r="A176" s="23">
        <v>2020</v>
      </c>
      <c r="B176" s="20" t="s">
        <v>15</v>
      </c>
      <c r="C176" s="34">
        <v>43</v>
      </c>
    </row>
    <row r="177" spans="1:3" x14ac:dyDescent="0.25">
      <c r="A177" s="24">
        <v>2021</v>
      </c>
      <c r="B177" s="21" t="s">
        <v>15</v>
      </c>
      <c r="C177" s="35">
        <v>46.7</v>
      </c>
    </row>
    <row r="178" spans="1:3" x14ac:dyDescent="0.25">
      <c r="A178" s="23">
        <v>2022</v>
      </c>
      <c r="B178" s="20" t="s">
        <v>15</v>
      </c>
      <c r="C178" s="34">
        <v>50.1</v>
      </c>
    </row>
    <row r="179" spans="1:3" x14ac:dyDescent="0.25">
      <c r="A179" s="24">
        <v>2023</v>
      </c>
      <c r="B179" s="21" t="s">
        <v>15</v>
      </c>
      <c r="C179" s="35">
        <v>54.3</v>
      </c>
    </row>
    <row r="180" spans="1:3" x14ac:dyDescent="0.25">
      <c r="A180" s="23">
        <v>2024</v>
      </c>
      <c r="B180" s="20" t="s">
        <v>15</v>
      </c>
      <c r="C180" s="34">
        <v>54.7</v>
      </c>
    </row>
    <row r="181" spans="1:3" x14ac:dyDescent="0.25">
      <c r="A181" s="24">
        <v>2025</v>
      </c>
      <c r="B181" s="21" t="s">
        <v>15</v>
      </c>
      <c r="C181" s="35">
        <v>56.8</v>
      </c>
    </row>
    <row r="182" spans="1:3" x14ac:dyDescent="0.25">
      <c r="A182" s="23">
        <v>2008</v>
      </c>
      <c r="B182" s="20" t="s">
        <v>16</v>
      </c>
      <c r="C182" s="34">
        <v>341.8</v>
      </c>
    </row>
    <row r="183" spans="1:3" x14ac:dyDescent="0.25">
      <c r="A183" s="24">
        <v>2009</v>
      </c>
      <c r="B183" s="21" t="s">
        <v>16</v>
      </c>
      <c r="C183" s="35">
        <v>355.7</v>
      </c>
    </row>
    <row r="184" spans="1:3" x14ac:dyDescent="0.25">
      <c r="A184" s="23">
        <v>2010</v>
      </c>
      <c r="B184" s="20" t="s">
        <v>16</v>
      </c>
      <c r="C184" s="34">
        <v>366.1</v>
      </c>
    </row>
    <row r="185" spans="1:3" x14ac:dyDescent="0.25">
      <c r="A185" s="24">
        <v>2011</v>
      </c>
      <c r="B185" s="21" t="s">
        <v>16</v>
      </c>
      <c r="C185" s="35">
        <v>363</v>
      </c>
    </row>
    <row r="186" spans="1:3" x14ac:dyDescent="0.25">
      <c r="A186" s="23">
        <v>2012</v>
      </c>
      <c r="B186" s="20" t="s">
        <v>16</v>
      </c>
      <c r="C186" s="34">
        <v>368.9</v>
      </c>
    </row>
    <row r="187" spans="1:3" x14ac:dyDescent="0.25">
      <c r="A187" s="24">
        <v>2013</v>
      </c>
      <c r="B187" s="21" t="s">
        <v>16</v>
      </c>
      <c r="C187" s="35">
        <v>354.7</v>
      </c>
    </row>
    <row r="188" spans="1:3" x14ac:dyDescent="0.25">
      <c r="A188" s="23">
        <v>2014</v>
      </c>
      <c r="B188" s="20" t="s">
        <v>16</v>
      </c>
      <c r="C188" s="34">
        <v>357.3</v>
      </c>
    </row>
    <row r="189" spans="1:3" x14ac:dyDescent="0.25">
      <c r="A189" s="24">
        <v>2015</v>
      </c>
      <c r="B189" s="21" t="s">
        <v>16</v>
      </c>
      <c r="C189" s="35">
        <v>380.7</v>
      </c>
    </row>
    <row r="190" spans="1:3" x14ac:dyDescent="0.25">
      <c r="A190" s="23">
        <v>2016</v>
      </c>
      <c r="B190" s="20" t="s">
        <v>16</v>
      </c>
      <c r="C190" s="34">
        <v>381.2</v>
      </c>
    </row>
    <row r="191" spans="1:3" x14ac:dyDescent="0.25">
      <c r="A191" s="24">
        <v>2017</v>
      </c>
      <c r="B191" s="21" t="s">
        <v>16</v>
      </c>
      <c r="C191" s="35">
        <v>393.4</v>
      </c>
    </row>
    <row r="192" spans="1:3" x14ac:dyDescent="0.25">
      <c r="A192" s="23">
        <v>2018</v>
      </c>
      <c r="B192" s="20" t="s">
        <v>16</v>
      </c>
      <c r="C192" s="34">
        <v>424.2</v>
      </c>
    </row>
    <row r="193" spans="1:3" x14ac:dyDescent="0.25">
      <c r="A193" s="24">
        <v>2019</v>
      </c>
      <c r="B193" s="21" t="s">
        <v>16</v>
      </c>
      <c r="C193" s="35">
        <v>418.2</v>
      </c>
    </row>
    <row r="194" spans="1:3" x14ac:dyDescent="0.25">
      <c r="A194" s="23">
        <v>2020</v>
      </c>
      <c r="B194" s="20" t="s">
        <v>16</v>
      </c>
      <c r="C194" s="34">
        <v>409.6</v>
      </c>
    </row>
    <row r="195" spans="1:3" x14ac:dyDescent="0.25">
      <c r="A195" s="24">
        <v>2021</v>
      </c>
      <c r="B195" s="21" t="s">
        <v>16</v>
      </c>
      <c r="C195" s="35">
        <v>427.5</v>
      </c>
    </row>
    <row r="196" spans="1:3" x14ac:dyDescent="0.25">
      <c r="A196" s="23">
        <v>2022</v>
      </c>
      <c r="B196" s="20" t="s">
        <v>16</v>
      </c>
      <c r="C196" s="34">
        <v>419.7</v>
      </c>
    </row>
    <row r="197" spans="1:3" x14ac:dyDescent="0.25">
      <c r="A197" s="24">
        <v>2023</v>
      </c>
      <c r="B197" s="21" t="s">
        <v>16</v>
      </c>
      <c r="C197" s="35">
        <v>406</v>
      </c>
    </row>
    <row r="198" spans="1:3" x14ac:dyDescent="0.25">
      <c r="A198" s="23">
        <v>2024</v>
      </c>
      <c r="B198" s="20" t="s">
        <v>16</v>
      </c>
      <c r="C198" s="34">
        <v>427.1</v>
      </c>
    </row>
    <row r="199" spans="1:3" x14ac:dyDescent="0.25">
      <c r="A199" s="24">
        <v>2025</v>
      </c>
      <c r="B199" s="21" t="s">
        <v>16</v>
      </c>
      <c r="C199" s="35">
        <v>422</v>
      </c>
    </row>
    <row r="200" spans="1:3" x14ac:dyDescent="0.25">
      <c r="A200" s="23">
        <v>2008</v>
      </c>
      <c r="B200" s="20" t="s">
        <v>17</v>
      </c>
      <c r="C200" s="34">
        <v>300.89999999999998</v>
      </c>
    </row>
    <row r="201" spans="1:3" x14ac:dyDescent="0.25">
      <c r="A201" s="24">
        <v>2009</v>
      </c>
      <c r="B201" s="21" t="s">
        <v>17</v>
      </c>
      <c r="C201" s="35">
        <v>320</v>
      </c>
    </row>
    <row r="202" spans="1:3" x14ac:dyDescent="0.25">
      <c r="A202" s="23">
        <v>2010</v>
      </c>
      <c r="B202" s="20" t="s">
        <v>17</v>
      </c>
      <c r="C202" s="34">
        <v>347.4</v>
      </c>
    </row>
    <row r="203" spans="1:3" x14ac:dyDescent="0.25">
      <c r="A203" s="24">
        <v>2011</v>
      </c>
      <c r="B203" s="21" t="s">
        <v>17</v>
      </c>
      <c r="C203" s="35">
        <v>360.8</v>
      </c>
    </row>
    <row r="204" spans="1:3" x14ac:dyDescent="0.25">
      <c r="A204" s="23">
        <v>2012</v>
      </c>
      <c r="B204" s="20" t="s">
        <v>17</v>
      </c>
      <c r="C204" s="34">
        <v>369.4</v>
      </c>
    </row>
    <row r="205" spans="1:3" x14ac:dyDescent="0.25">
      <c r="A205" s="24">
        <v>2013</v>
      </c>
      <c r="B205" s="21" t="s">
        <v>17</v>
      </c>
      <c r="C205" s="35">
        <v>367.3</v>
      </c>
    </row>
    <row r="206" spans="1:3" x14ac:dyDescent="0.25">
      <c r="A206" s="23">
        <v>2014</v>
      </c>
      <c r="B206" s="20" t="s">
        <v>17</v>
      </c>
      <c r="C206" s="34">
        <v>378.2</v>
      </c>
    </row>
    <row r="207" spans="1:3" x14ac:dyDescent="0.25">
      <c r="A207" s="24">
        <v>2015</v>
      </c>
      <c r="B207" s="21" t="s">
        <v>17</v>
      </c>
      <c r="C207" s="35">
        <v>403.7</v>
      </c>
    </row>
    <row r="208" spans="1:3" x14ac:dyDescent="0.25">
      <c r="A208" s="23">
        <v>2016</v>
      </c>
      <c r="B208" s="20" t="s">
        <v>17</v>
      </c>
      <c r="C208" s="34">
        <v>424.3</v>
      </c>
    </row>
    <row r="209" spans="1:3" x14ac:dyDescent="0.25">
      <c r="A209" s="24">
        <v>2017</v>
      </c>
      <c r="B209" s="21" t="s">
        <v>17</v>
      </c>
      <c r="C209" s="35">
        <v>438.1</v>
      </c>
    </row>
    <row r="210" spans="1:3" x14ac:dyDescent="0.25">
      <c r="A210" s="23">
        <v>2018</v>
      </c>
      <c r="B210" s="20" t="s">
        <v>17</v>
      </c>
      <c r="C210" s="34">
        <v>446.9</v>
      </c>
    </row>
    <row r="211" spans="1:3" x14ac:dyDescent="0.25">
      <c r="A211" s="24">
        <v>2019</v>
      </c>
      <c r="B211" s="21" t="s">
        <v>17</v>
      </c>
      <c r="C211" s="35">
        <v>472.6</v>
      </c>
    </row>
    <row r="212" spans="1:3" x14ac:dyDescent="0.25">
      <c r="A212" s="23">
        <v>2020</v>
      </c>
      <c r="B212" s="20" t="s">
        <v>17</v>
      </c>
      <c r="C212" s="34">
        <v>472.9</v>
      </c>
    </row>
    <row r="213" spans="1:3" x14ac:dyDescent="0.25">
      <c r="A213" s="24">
        <v>2021</v>
      </c>
      <c r="B213" s="21" t="s">
        <v>17</v>
      </c>
      <c r="C213" s="35">
        <v>490.8</v>
      </c>
    </row>
    <row r="214" spans="1:3" x14ac:dyDescent="0.25">
      <c r="A214" s="23">
        <v>2022</v>
      </c>
      <c r="B214" s="20" t="s">
        <v>17</v>
      </c>
      <c r="C214" s="34">
        <v>497.2</v>
      </c>
    </row>
    <row r="215" spans="1:3" x14ac:dyDescent="0.25">
      <c r="A215" s="24">
        <v>2023</v>
      </c>
      <c r="B215" s="21" t="s">
        <v>17</v>
      </c>
      <c r="C215" s="35">
        <v>504</v>
      </c>
    </row>
    <row r="216" spans="1:3" x14ac:dyDescent="0.25">
      <c r="A216" s="23">
        <v>2024</v>
      </c>
      <c r="B216" s="20" t="s">
        <v>17</v>
      </c>
      <c r="C216" s="34">
        <v>497.8</v>
      </c>
    </row>
    <row r="217" spans="1:3" x14ac:dyDescent="0.25">
      <c r="A217" s="24">
        <v>2025</v>
      </c>
      <c r="B217" s="21" t="s">
        <v>17</v>
      </c>
      <c r="C217" s="35">
        <v>534.29999999999995</v>
      </c>
    </row>
    <row r="218" spans="1:3" x14ac:dyDescent="0.25">
      <c r="A218" s="23">
        <v>2008</v>
      </c>
      <c r="B218" s="20" t="s">
        <v>18</v>
      </c>
      <c r="C218" s="34">
        <v>1041</v>
      </c>
    </row>
    <row r="219" spans="1:3" x14ac:dyDescent="0.25">
      <c r="A219" s="24">
        <v>2009</v>
      </c>
      <c r="B219" s="21" t="s">
        <v>18</v>
      </c>
      <c r="C219" s="35">
        <v>1010.6</v>
      </c>
    </row>
    <row r="220" spans="1:3" x14ac:dyDescent="0.25">
      <c r="A220" s="23">
        <v>2010</v>
      </c>
      <c r="B220" s="20" t="s">
        <v>18</v>
      </c>
      <c r="C220" s="34">
        <v>1007.2</v>
      </c>
    </row>
    <row r="221" spans="1:3" x14ac:dyDescent="0.25">
      <c r="A221" s="24">
        <v>2011</v>
      </c>
      <c r="B221" s="21" t="s">
        <v>18</v>
      </c>
      <c r="C221" s="35">
        <v>978</v>
      </c>
    </row>
    <row r="222" spans="1:3" x14ac:dyDescent="0.25">
      <c r="A222" s="23">
        <v>2012</v>
      </c>
      <c r="B222" s="20" t="s">
        <v>18</v>
      </c>
      <c r="C222" s="34">
        <v>947.2</v>
      </c>
    </row>
    <row r="223" spans="1:3" x14ac:dyDescent="0.25">
      <c r="A223" s="24">
        <v>2013</v>
      </c>
      <c r="B223" s="21" t="s">
        <v>18</v>
      </c>
      <c r="C223" s="35">
        <v>975.7</v>
      </c>
    </row>
    <row r="224" spans="1:3" x14ac:dyDescent="0.25">
      <c r="A224" s="23">
        <v>2014</v>
      </c>
      <c r="B224" s="20" t="s">
        <v>18</v>
      </c>
      <c r="C224" s="34">
        <v>1050.8</v>
      </c>
    </row>
    <row r="225" spans="1:3" x14ac:dyDescent="0.25">
      <c r="A225" s="24">
        <v>2015</v>
      </c>
      <c r="B225" s="21" t="s">
        <v>18</v>
      </c>
      <c r="C225" s="35">
        <v>1050.2</v>
      </c>
    </row>
    <row r="226" spans="1:3" x14ac:dyDescent="0.25">
      <c r="A226" s="23">
        <v>2016</v>
      </c>
      <c r="B226" s="20" t="s">
        <v>18</v>
      </c>
      <c r="C226" s="34">
        <v>1045.3</v>
      </c>
    </row>
    <row r="227" spans="1:3" x14ac:dyDescent="0.25">
      <c r="A227" s="24">
        <v>2017</v>
      </c>
      <c r="B227" s="21" t="s">
        <v>18</v>
      </c>
      <c r="C227" s="35">
        <v>1065.3</v>
      </c>
    </row>
    <row r="228" spans="1:3" x14ac:dyDescent="0.25">
      <c r="A228" s="23">
        <v>2018</v>
      </c>
      <c r="B228" s="20" t="s">
        <v>18</v>
      </c>
      <c r="C228" s="34">
        <v>1103</v>
      </c>
    </row>
    <row r="229" spans="1:3" x14ac:dyDescent="0.25">
      <c r="A229" s="24">
        <v>2019</v>
      </c>
      <c r="B229" s="21" t="s">
        <v>18</v>
      </c>
      <c r="C229" s="35">
        <v>1153.4000000000001</v>
      </c>
    </row>
    <row r="230" spans="1:3" x14ac:dyDescent="0.25">
      <c r="A230" s="23">
        <v>2020</v>
      </c>
      <c r="B230" s="20" t="s">
        <v>18</v>
      </c>
      <c r="C230" s="34">
        <v>1153.5</v>
      </c>
    </row>
    <row r="231" spans="1:3" x14ac:dyDescent="0.25">
      <c r="A231" s="24">
        <v>2021</v>
      </c>
      <c r="B231" s="21" t="s">
        <v>18</v>
      </c>
      <c r="C231" s="35">
        <v>1174.8</v>
      </c>
    </row>
    <row r="232" spans="1:3" x14ac:dyDescent="0.25">
      <c r="A232" s="23">
        <v>2022</v>
      </c>
      <c r="B232" s="20" t="s">
        <v>18</v>
      </c>
      <c r="C232" s="34">
        <v>1231.4000000000001</v>
      </c>
    </row>
    <row r="233" spans="1:3" x14ac:dyDescent="0.25">
      <c r="A233" s="24">
        <v>2023</v>
      </c>
      <c r="B233" s="21" t="s">
        <v>18</v>
      </c>
      <c r="C233" s="35">
        <v>1268.7</v>
      </c>
    </row>
    <row r="234" spans="1:3" x14ac:dyDescent="0.25">
      <c r="A234" s="23">
        <v>2024</v>
      </c>
      <c r="B234" s="20" t="s">
        <v>18</v>
      </c>
      <c r="C234" s="34">
        <v>1304.8</v>
      </c>
    </row>
    <row r="235" spans="1:3" x14ac:dyDescent="0.25">
      <c r="A235" s="30">
        <v>2025</v>
      </c>
      <c r="B235" s="31" t="s">
        <v>18</v>
      </c>
      <c r="C235" s="36">
        <v>1378.4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0181-897A-45A5-B96E-BF663E030040}">
  <dimension ref="A1:L37"/>
  <sheetViews>
    <sheetView topLeftCell="B1" zoomScaleNormal="100" workbookViewId="0">
      <selection activeCell="I1" sqref="I1:L1"/>
    </sheetView>
  </sheetViews>
  <sheetFormatPr defaultRowHeight="13.2" x14ac:dyDescent="0.25"/>
  <cols>
    <col min="1" max="1" width="46.77734375" customWidth="1"/>
    <col min="2" max="2" width="26.44140625" customWidth="1"/>
    <col min="4" max="4" width="46.88671875" bestFit="1" customWidth="1"/>
    <col min="5" max="5" width="14.6640625" customWidth="1"/>
    <col min="6" max="6" width="0.109375" customWidth="1"/>
    <col min="7" max="7" width="13.44140625" customWidth="1"/>
    <col min="10" max="10" width="12.44140625" customWidth="1"/>
    <col min="11" max="11" width="13.6640625" customWidth="1"/>
    <col min="12" max="12" width="0.109375" customWidth="1"/>
  </cols>
  <sheetData>
    <row r="1" spans="1:12" x14ac:dyDescent="0.25">
      <c r="A1" s="55" t="s">
        <v>65</v>
      </c>
      <c r="B1" s="55"/>
      <c r="D1" s="55" t="s">
        <v>69</v>
      </c>
      <c r="E1" s="55"/>
      <c r="F1" s="27"/>
      <c r="I1" s="55" t="s">
        <v>67</v>
      </c>
      <c r="J1" s="55"/>
      <c r="K1" s="55"/>
      <c r="L1" s="55"/>
    </row>
    <row r="2" spans="1:12" x14ac:dyDescent="0.25">
      <c r="A2" s="29" t="s">
        <v>60</v>
      </c>
      <c r="B2" s="29" t="s">
        <v>61</v>
      </c>
      <c r="D2" s="28" t="s">
        <v>62</v>
      </c>
      <c r="E2" s="28" t="s">
        <v>64</v>
      </c>
      <c r="I2" s="28" t="s">
        <v>57</v>
      </c>
      <c r="J2" s="28" t="s">
        <v>68</v>
      </c>
      <c r="L2" s="28"/>
    </row>
    <row r="3" spans="1:12" x14ac:dyDescent="0.25">
      <c r="A3" t="s">
        <v>6</v>
      </c>
      <c r="B3" t="s">
        <v>11</v>
      </c>
      <c r="D3" t="s">
        <v>6</v>
      </c>
      <c r="E3" s="32">
        <f>SUMIFS('CleanData '!C2:C235,'CleanData '!B2:B235,DataPrep!D3)</f>
        <v>3908.1000000000008</v>
      </c>
      <c r="I3">
        <v>2008</v>
      </c>
      <c r="J3" s="39">
        <v>0</v>
      </c>
    </row>
    <row r="4" spans="1:12" x14ac:dyDescent="0.25">
      <c r="A4" t="s">
        <v>7</v>
      </c>
      <c r="D4" t="s">
        <v>7</v>
      </c>
      <c r="E4" s="32">
        <f>SUMIFS('CleanData '!C3:C236,'CleanData '!B3:B236,DataPrep!D4)</f>
        <v>257</v>
      </c>
      <c r="I4">
        <v>2009</v>
      </c>
      <c r="J4" s="39">
        <f>(E21-E20)/E21</f>
        <v>-2.9787062754095907E-2</v>
      </c>
    </row>
    <row r="5" spans="1:12" x14ac:dyDescent="0.25">
      <c r="A5" t="s">
        <v>8</v>
      </c>
      <c r="D5" t="s">
        <v>8</v>
      </c>
      <c r="E5" s="32">
        <f>SUMIFS('CleanData '!C4:C237,'CleanData '!B4:B237,DataPrep!D5)</f>
        <v>14439.500000000002</v>
      </c>
      <c r="I5">
        <v>2010</v>
      </c>
      <c r="J5" s="39">
        <f t="shared" ref="J5:J20" si="0">(E22-E21)/E22</f>
        <v>-1.4331210191082766E-2</v>
      </c>
    </row>
    <row r="6" spans="1:12" x14ac:dyDescent="0.25">
      <c r="A6" t="s">
        <v>9</v>
      </c>
      <c r="D6" t="s">
        <v>9</v>
      </c>
      <c r="E6" s="32">
        <f>SUMIFS('CleanData '!C5:C238,'CleanData '!B5:B238,DataPrep!D6)</f>
        <v>950.99999999999989</v>
      </c>
      <c r="I6">
        <v>2011</v>
      </c>
      <c r="J6" s="39">
        <f t="shared" si="0"/>
        <v>-0.10760881854154859</v>
      </c>
    </row>
    <row r="7" spans="1:12" x14ac:dyDescent="0.25">
      <c r="A7" s="18" t="s">
        <v>10</v>
      </c>
      <c r="D7" t="s">
        <v>10</v>
      </c>
      <c r="E7" s="32">
        <f>SUMIFS('CleanData '!C6:C239,'CleanData '!B6:B239,DataPrep!D7)</f>
        <v>6338</v>
      </c>
      <c r="I7">
        <v>2012</v>
      </c>
      <c r="J7" s="39">
        <f t="shared" si="0"/>
        <v>-4.8606994665086167E-2</v>
      </c>
    </row>
    <row r="8" spans="1:12" x14ac:dyDescent="0.25">
      <c r="A8" t="s">
        <v>11</v>
      </c>
      <c r="D8" t="s">
        <v>11</v>
      </c>
      <c r="E8" s="32">
        <f>SUMIFS('CleanData '!C7:C240,'CleanData '!B7:B240,DataPrep!D8)</f>
        <v>12772.699999999999</v>
      </c>
      <c r="I8">
        <v>2013</v>
      </c>
      <c r="J8" s="39">
        <f t="shared" si="0"/>
        <v>-1.8842855417320933E-2</v>
      </c>
    </row>
    <row r="9" spans="1:12" x14ac:dyDescent="0.25">
      <c r="A9" t="s">
        <v>12</v>
      </c>
      <c r="D9" t="s">
        <v>12</v>
      </c>
      <c r="E9" s="32">
        <f>SUMIFS('CleanData '!C8:C241,'CleanData '!B8:B241,DataPrep!D9)</f>
        <v>3586.2999999999997</v>
      </c>
      <c r="I9">
        <v>2014</v>
      </c>
      <c r="J9" s="39">
        <f t="shared" si="0"/>
        <v>2.9835005156088914E-2</v>
      </c>
    </row>
    <row r="10" spans="1:12" x14ac:dyDescent="0.25">
      <c r="A10" t="s">
        <v>13</v>
      </c>
      <c r="D10" t="s">
        <v>13</v>
      </c>
      <c r="E10" s="32">
        <f>SUMIFS('CleanData '!C9:C242,'CleanData '!B9:B242,DataPrep!D10)</f>
        <v>5393.5999999999995</v>
      </c>
      <c r="I10">
        <v>2015</v>
      </c>
      <c r="J10" s="39">
        <f t="shared" si="0"/>
        <v>1.989249781779746E-2</v>
      </c>
    </row>
    <row r="11" spans="1:12" x14ac:dyDescent="0.25">
      <c r="A11" t="s">
        <v>14</v>
      </c>
      <c r="D11" t="s">
        <v>14</v>
      </c>
      <c r="E11" s="32">
        <f>SUMIFS('CleanData '!C10:C243,'CleanData '!B10:B243,DataPrep!D11)</f>
        <v>1853.3</v>
      </c>
      <c r="I11">
        <v>2016</v>
      </c>
      <c r="J11" s="39">
        <f t="shared" si="0"/>
        <v>1.9283622437486003E-2</v>
      </c>
    </row>
    <row r="12" spans="1:12" x14ac:dyDescent="0.25">
      <c r="A12" t="s">
        <v>15</v>
      </c>
      <c r="D12" t="s">
        <v>15</v>
      </c>
      <c r="E12" s="32">
        <f>SUMIFS('CleanData '!C11:C244,'CleanData '!B11:B244,DataPrep!D12)</f>
        <v>704.19999999999993</v>
      </c>
      <c r="I12">
        <v>2017</v>
      </c>
      <c r="J12" s="39">
        <f t="shared" si="0"/>
        <v>3.5251673476484356E-2</v>
      </c>
    </row>
    <row r="13" spans="1:12" x14ac:dyDescent="0.25">
      <c r="A13" t="s">
        <v>16</v>
      </c>
      <c r="D13" t="s">
        <v>16</v>
      </c>
      <c r="E13" s="32">
        <f>SUMIFS('CleanData '!C12:C245,'CleanData '!B12:B245,DataPrep!D13)</f>
        <v>7017.1</v>
      </c>
      <c r="I13">
        <v>2018</v>
      </c>
      <c r="J13" s="39">
        <f t="shared" si="0"/>
        <v>2.7538835464440491E-2</v>
      </c>
    </row>
    <row r="14" spans="1:12" x14ac:dyDescent="0.25">
      <c r="A14" t="s">
        <v>17</v>
      </c>
      <c r="D14" t="s">
        <v>17</v>
      </c>
      <c r="E14" s="32">
        <f>SUMIFS('CleanData '!C13:C246,'CleanData '!B13:B246,DataPrep!D14)</f>
        <v>7626.6</v>
      </c>
      <c r="I14">
        <v>2019</v>
      </c>
      <c r="J14" s="39">
        <f t="shared" si="0"/>
        <v>1.2192321342825455E-2</v>
      </c>
    </row>
    <row r="15" spans="1:12" x14ac:dyDescent="0.25">
      <c r="A15" t="s">
        <v>18</v>
      </c>
      <c r="D15" t="s">
        <v>18</v>
      </c>
      <c r="E15" s="32">
        <f>SUMIFS('CleanData '!C14:C247,'CleanData '!B14:B247,DataPrep!D15)</f>
        <v>19939.3</v>
      </c>
      <c r="I15">
        <v>2020</v>
      </c>
      <c r="J15" s="39">
        <f t="shared" si="0"/>
        <v>-2.3439169266270436E-2</v>
      </c>
    </row>
    <row r="16" spans="1:12" x14ac:dyDescent="0.25">
      <c r="E16" s="32"/>
      <c r="I16">
        <v>2021</v>
      </c>
      <c r="J16" s="39">
        <f t="shared" si="0"/>
        <v>2.1472328503627281E-2</v>
      </c>
    </row>
    <row r="17" spans="1:10" x14ac:dyDescent="0.25">
      <c r="A17" s="27" t="s">
        <v>66</v>
      </c>
      <c r="I17">
        <v>2022</v>
      </c>
      <c r="J17" s="39">
        <f t="shared" si="0"/>
        <v>3.1782019878944918E-2</v>
      </c>
    </row>
    <row r="18" spans="1:10" x14ac:dyDescent="0.25">
      <c r="A18" s="37" t="s">
        <v>57</v>
      </c>
      <c r="B18" s="38">
        <v>2013</v>
      </c>
      <c r="D18" s="55" t="s">
        <v>63</v>
      </c>
      <c r="E18" s="55"/>
      <c r="I18">
        <v>2023</v>
      </c>
      <c r="J18" s="39">
        <f t="shared" si="0"/>
        <v>2.2034368070953474E-2</v>
      </c>
    </row>
    <row r="19" spans="1:10" x14ac:dyDescent="0.25">
      <c r="D19" s="28" t="s">
        <v>57</v>
      </c>
      <c r="E19" s="28" t="s">
        <v>64</v>
      </c>
      <c r="I19">
        <v>2024</v>
      </c>
      <c r="J19" s="39">
        <f t="shared" si="0"/>
        <v>1.195156778749298E-2</v>
      </c>
    </row>
    <row r="20" spans="1:10" x14ac:dyDescent="0.25">
      <c r="D20">
        <v>2008</v>
      </c>
      <c r="E20" s="32">
        <f>SUMIF('CleanData '!A2:A235,DataPrep!$D20,'CleanData '!C2:C235)</f>
        <v>5116.6000000000004</v>
      </c>
      <c r="I20">
        <v>2025</v>
      </c>
      <c r="J20" s="39">
        <f t="shared" si="0"/>
        <v>3.0898716660664016E-2</v>
      </c>
    </row>
    <row r="21" spans="1:10" x14ac:dyDescent="0.25">
      <c r="D21">
        <v>2009</v>
      </c>
      <c r="E21" s="32">
        <f>SUMIF('CleanData '!A3:A236,DataPrep!$D21,'CleanData '!C3:C236)</f>
        <v>4968.5999999999995</v>
      </c>
    </row>
    <row r="22" spans="1:10" x14ac:dyDescent="0.25">
      <c r="D22">
        <v>2010</v>
      </c>
      <c r="E22" s="32">
        <f>SUMIF('CleanData '!A4:A237,DataPrep!$D22,'CleanData '!C4:C237)</f>
        <v>4898.3999999999996</v>
      </c>
    </row>
    <row r="23" spans="1:10" x14ac:dyDescent="0.25">
      <c r="D23">
        <v>2011</v>
      </c>
      <c r="E23" s="32">
        <f>SUMIF('CleanData '!A5:A238,DataPrep!$D23,'CleanData '!C5:C238)</f>
        <v>4422.5000000000009</v>
      </c>
    </row>
    <row r="24" spans="1:10" x14ac:dyDescent="0.25">
      <c r="D24">
        <v>2012</v>
      </c>
      <c r="E24" s="32">
        <f>SUMIF('CleanData '!A6:A239,DataPrep!$D24,'CleanData '!C6:C239)</f>
        <v>4217.5</v>
      </c>
    </row>
    <row r="25" spans="1:10" x14ac:dyDescent="0.25">
      <c r="D25">
        <v>2013</v>
      </c>
      <c r="E25" s="32">
        <f>SUMIF('CleanData '!A7:A240,DataPrep!$D25,'CleanData '!C7:C240)</f>
        <v>4139.5</v>
      </c>
    </row>
    <row r="26" spans="1:10" x14ac:dyDescent="0.25">
      <c r="D26">
        <v>2014</v>
      </c>
      <c r="E26" s="32">
        <f>SUMIF('CleanData '!A8:A241,DataPrep!$D26,'CleanData '!C8:C241)</f>
        <v>4266.8</v>
      </c>
    </row>
    <row r="27" spans="1:10" x14ac:dyDescent="0.25">
      <c r="D27">
        <v>2015</v>
      </c>
      <c r="E27" s="32">
        <f>SUMIF('CleanData '!A9:A242,DataPrep!$D27,'CleanData '!C9:C242)</f>
        <v>4353.3999999999996</v>
      </c>
    </row>
    <row r="28" spans="1:10" x14ac:dyDescent="0.25">
      <c r="D28">
        <v>2016</v>
      </c>
      <c r="E28" s="32">
        <f>SUMIF('CleanData '!A10:A243,DataPrep!$D28,'CleanData '!C10:C243)</f>
        <v>4439</v>
      </c>
    </row>
    <row r="29" spans="1:10" x14ac:dyDescent="0.25">
      <c r="D29">
        <v>2017</v>
      </c>
      <c r="E29" s="32">
        <f>SUMIF('CleanData '!A11:A244,DataPrep!$D29,'CleanData '!C11:C244)</f>
        <v>4601.2</v>
      </c>
    </row>
    <row r="30" spans="1:10" x14ac:dyDescent="0.25">
      <c r="D30">
        <v>2018</v>
      </c>
      <c r="E30" s="32">
        <f>SUMIF('CleanData '!A12:A245,DataPrep!$D30,'CleanData '!C12:C245)</f>
        <v>4731.5</v>
      </c>
    </row>
    <row r="31" spans="1:10" x14ac:dyDescent="0.25">
      <c r="D31">
        <v>2019</v>
      </c>
      <c r="E31" s="32">
        <f>SUMIF('CleanData '!A13:A246,DataPrep!$D31,'CleanData '!C13:C246)</f>
        <v>4789.8999999999996</v>
      </c>
    </row>
    <row r="32" spans="1:10" x14ac:dyDescent="0.25">
      <c r="D32">
        <v>2020</v>
      </c>
      <c r="E32" s="32">
        <f>SUMIF('CleanData '!A14:A247,DataPrep!$D32,'CleanData '!C14:C247)</f>
        <v>4680.2000000000007</v>
      </c>
    </row>
    <row r="33" spans="4:5" x14ac:dyDescent="0.25">
      <c r="D33">
        <v>2021</v>
      </c>
      <c r="E33" s="32">
        <f>SUMIF('CleanData '!A15:A248,DataPrep!$D33,'CleanData '!C15:C248)</f>
        <v>4782.8999999999996</v>
      </c>
    </row>
    <row r="34" spans="4:5" x14ac:dyDescent="0.25">
      <c r="D34">
        <v>2022</v>
      </c>
      <c r="E34" s="32">
        <f>SUMIF('CleanData '!A16:A249,DataPrep!$D34,'CleanData '!C16:C249)</f>
        <v>4939.8999999999996</v>
      </c>
    </row>
    <row r="35" spans="4:5" x14ac:dyDescent="0.25">
      <c r="D35">
        <v>2023</v>
      </c>
      <c r="E35" s="32">
        <f>SUMIF('CleanData '!A17:A250,DataPrep!$D35,'CleanData '!C17:C250)</f>
        <v>5051.2</v>
      </c>
    </row>
    <row r="36" spans="4:5" x14ac:dyDescent="0.25">
      <c r="D36">
        <v>2024</v>
      </c>
      <c r="E36" s="32">
        <f>SUMIF('CleanData '!A18:A251,DataPrep!$D36,'CleanData '!C18:C251)</f>
        <v>5112.3</v>
      </c>
    </row>
    <row r="37" spans="4:5" x14ac:dyDescent="0.25">
      <c r="D37">
        <v>2025</v>
      </c>
      <c r="E37" s="32">
        <f>SUMIF('CleanData '!A19:A252,DataPrep!$D37,'CleanData '!C19:C252)</f>
        <v>5275.3000000000011</v>
      </c>
    </row>
  </sheetData>
  <mergeCells count="4">
    <mergeCell ref="I1:L1"/>
    <mergeCell ref="D1:E1"/>
    <mergeCell ref="A1:B1"/>
    <mergeCell ref="D18:E18"/>
  </mergeCells>
  <conditionalFormatting sqref="J3:J20">
    <cfRule type="cellIs" dxfId="9" priority="1" operator="lessThan">
      <formula>0</formula>
    </cfRule>
    <cfRule type="cellIs" dxfId="8" priority="2" operator="greaterThan">
      <formula>0</formula>
    </cfRule>
  </conditionalFormatting>
  <dataValidations disablePrompts="1" count="2">
    <dataValidation type="list" allowBlank="1" showInputMessage="1" showErrorMessage="1" sqref="B3" xr:uid="{09BDDF17-C702-4D76-B224-D035EA238A1F}">
      <formula1>$A$3:$A$15</formula1>
    </dataValidation>
    <dataValidation type="list" allowBlank="1" showInputMessage="1" showErrorMessage="1" sqref="B18" xr:uid="{074E76AF-B872-4B12-8330-95786BAA815B}">
      <formula1>#REF!</formula1>
    </dataValidation>
  </dataValidations>
  <pageMargins left="0.7" right="0.7" top="0.75" bottom="0.75" header="0.3" footer="0.3"/>
  <ignoredErrors>
    <ignoredError sqref="E4:E1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B424-4A39-4CC1-B8D8-617C5A8FCEBE}">
  <dimension ref="A1:S57"/>
  <sheetViews>
    <sheetView showGridLines="0" zoomScale="70" zoomScaleNormal="70" workbookViewId="0">
      <selection activeCell="S7" sqref="S7"/>
    </sheetView>
  </sheetViews>
  <sheetFormatPr defaultColWidth="0" defaultRowHeight="13.2" zeroHeight="1" x14ac:dyDescent="0.25"/>
  <cols>
    <col min="1" max="1" width="6.6640625" customWidth="1"/>
    <col min="2" max="2" width="8.88671875" customWidth="1"/>
    <col min="3" max="3" width="11.77734375" customWidth="1"/>
    <col min="4" max="4" width="12.44140625" customWidth="1"/>
    <col min="5" max="5" width="7.44140625" customWidth="1"/>
    <col min="6" max="6" width="10.109375" bestFit="1" customWidth="1"/>
    <col min="7" max="7" width="19.109375" customWidth="1"/>
    <col min="8" max="8" width="8.88671875" customWidth="1"/>
    <col min="9" max="9" width="14.33203125" customWidth="1"/>
    <col min="10" max="10" width="10" bestFit="1" customWidth="1"/>
    <col min="11" max="12" width="8.88671875" customWidth="1"/>
    <col min="13" max="13" width="9.33203125" bestFit="1" customWidth="1"/>
    <col min="14" max="19" width="8.88671875" customWidth="1"/>
    <col min="20" max="16384" width="8.88671875" hidden="1"/>
  </cols>
  <sheetData>
    <row r="1" spans="3:15" x14ac:dyDescent="0.25"/>
    <row r="2" spans="3:15" x14ac:dyDescent="0.25"/>
    <row r="3" spans="3:15" x14ac:dyDescent="0.25"/>
    <row r="4" spans="3:15" x14ac:dyDescent="0.25"/>
    <row r="5" spans="3:15" x14ac:dyDescent="0.25"/>
    <row r="6" spans="3:15" x14ac:dyDescent="0.25"/>
    <row r="7" spans="3:15" x14ac:dyDescent="0.25"/>
    <row r="8" spans="3:15" ht="17.399999999999999" x14ac:dyDescent="0.3">
      <c r="C8" s="19"/>
      <c r="E8" s="44" t="str">
        <f>DataPrep!A15</f>
        <v>Outros setores</v>
      </c>
      <c r="F8" s="46"/>
      <c r="I8" s="56">
        <f>SUM('CleanData '!C2:C235)</f>
        <v>84786.700000000012</v>
      </c>
      <c r="J8" s="40" t="s">
        <v>70</v>
      </c>
      <c r="O8" s="47">
        <f>AVERAGE(DataPrep!J3:J20)</f>
        <v>1.0842692089666969E-3</v>
      </c>
    </row>
    <row r="9" spans="3:15" ht="20.399999999999999" x14ac:dyDescent="0.35">
      <c r="E9" s="44"/>
      <c r="F9" s="45"/>
      <c r="G9" s="44"/>
      <c r="I9" s="42"/>
      <c r="M9" s="43"/>
    </row>
    <row r="10" spans="3:15" x14ac:dyDescent="0.25"/>
    <row r="11" spans="3:15" ht="17.399999999999999" x14ac:dyDescent="0.3">
      <c r="D11" s="41"/>
      <c r="G11" s="40"/>
      <c r="K11" s="39"/>
    </row>
    <row r="12" spans="3:15" x14ac:dyDescent="0.25"/>
    <row r="13" spans="3:15" x14ac:dyDescent="0.25"/>
    <row r="14" spans="3:15" x14ac:dyDescent="0.25"/>
    <row r="15" spans="3:15" x14ac:dyDescent="0.25"/>
    <row r="16" spans="3:15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hidden="1" x14ac:dyDescent="0.25"/>
    <row r="53" customFormat="1" hidden="1" x14ac:dyDescent="0.25"/>
    <row r="54" customFormat="1" hidden="1" x14ac:dyDescent="0.25"/>
    <row r="55" customFormat="1" hidden="1" x14ac:dyDescent="0.25"/>
    <row r="56" customFormat="1" hidden="1" x14ac:dyDescent="0.25"/>
    <row r="57" customFormat="1" hidden="1" x14ac:dyDescent="0.25"/>
  </sheetData>
  <sheetProtection selectLockedCells="1" selectUnlockedCells="1"/>
  <conditionalFormatting sqref="I8">
    <cfRule type="cellIs" dxfId="7" priority="3" operator="lessThan">
      <formula>0</formula>
    </cfRule>
  </conditionalFormatting>
  <conditionalFormatting sqref="K11">
    <cfRule type="cellIs" dxfId="6" priority="7" operator="lessThan">
      <formula>0</formula>
    </cfRule>
    <cfRule type="cellIs" dxfId="5" priority="8" operator="greaterThan">
      <formula>0</formula>
    </cfRule>
  </conditionalFormatting>
  <conditionalFormatting sqref="M9">
    <cfRule type="cellIs" dxfId="4" priority="4" operator="lessThan">
      <formula>0</formula>
    </cfRule>
    <cfRule type="cellIs" dxfId="3" priority="5" operator="greaterThan">
      <formula>0</formula>
    </cfRule>
    <cfRule type="cellIs" dxfId="2" priority="6" operator="greaterThan">
      <formula>0</formula>
    </cfRule>
  </conditionalFormatting>
  <conditionalFormatting sqref="O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02E9E1-E8FB-4CAC-AA20-E664E5F1EE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Quadro</vt:lpstr>
      <vt:lpstr>CleanData </vt:lpstr>
      <vt:lpstr>DataPrep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cp:lastModifiedBy>Emanuel Carvalho</cp:lastModifiedBy>
  <dcterms:modified xsi:type="dcterms:W3CDTF">2026-05-04T15:42:56Z</dcterms:modified>
</cp:coreProperties>
</file>